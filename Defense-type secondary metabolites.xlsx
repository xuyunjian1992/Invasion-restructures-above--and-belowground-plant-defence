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chunmei/Desktop/xuxu/"/>
    </mc:Choice>
  </mc:AlternateContent>
  <xr:revisionPtr revIDLastSave="0" documentId="13_ncr:1_{219B554E-4726-6A4B-9306-CE27FF1D0046}" xr6:coauthVersionLast="47" xr6:coauthVersionMax="47" xr10:uidLastSave="{00000000-0000-0000-0000-000000000000}"/>
  <bookViews>
    <workbookView xWindow="540" yWindow="500" windowWidth="27200" windowHeight="17500" xr2:uid="{190A77EE-E193-1F44-89B7-30A308A6BDF5}"/>
  </bookViews>
  <sheets>
    <sheet name="Secondary metabolites" sheetId="2" r:id="rId1"/>
    <sheet name="Root-total phenol" sheetId="6" r:id="rId2"/>
    <sheet name="Leaf-total phenol" sheetId="7" r:id="rId3"/>
    <sheet name="Root-total flavonoids" sheetId="4" r:id="rId4"/>
    <sheet name="Leaf-total flavonoids" sheetId="5" r:id="rId5"/>
    <sheet name="Root-total alkaloids" sheetId="17" r:id="rId6"/>
    <sheet name="Leaf-total alkaloids" sheetId="16" r:id="rId7"/>
    <sheet name="Root-lignin" sheetId="9" r:id="rId8"/>
    <sheet name="Leaf-lignin" sheetId="8" r:id="rId9"/>
    <sheet name="Root-POD" sheetId="14" r:id="rId10"/>
    <sheet name="Leaf-POD" sheetId="11" r:id="rId11"/>
    <sheet name="Root-MDA" sheetId="15" r:id="rId12"/>
    <sheet name="Leaf-MDA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7" l="1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" i="17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3" i="16"/>
  <c r="H4" i="16"/>
  <c r="H2" i="16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H269" i="17" s="1"/>
  <c r="F270" i="17"/>
  <c r="H270" i="17" s="1"/>
  <c r="F271" i="17"/>
  <c r="H271" i="17" s="1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" i="17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" i="16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" i="15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2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H23" i="14" s="1"/>
  <c r="F24" i="14"/>
  <c r="H24" i="14" s="1"/>
  <c r="F25" i="14"/>
  <c r="H25" i="14" s="1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H101" i="14" s="1"/>
  <c r="F102" i="14"/>
  <c r="F103" i="14"/>
  <c r="H103" i="14" s="1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" i="14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" i="13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3" i="11"/>
  <c r="H4" i="11"/>
  <c r="H5" i="11"/>
  <c r="H6" i="11"/>
  <c r="H7" i="11"/>
  <c r="H2" i="1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" i="8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3" i="9"/>
  <c r="H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" i="9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" i="5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" i="4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" i="6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" i="11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" i="13"/>
</calcChain>
</file>

<file path=xl/sharedStrings.xml><?xml version="1.0" encoding="utf-8"?>
<sst xmlns="http://schemas.openxmlformats.org/spreadsheetml/2006/main" count="11339" uniqueCount="73">
  <si>
    <t>Origin</t>
    <phoneticPr fontId="1" type="noConversion"/>
  </si>
  <si>
    <t>Population</t>
    <phoneticPr fontId="1" type="noConversion"/>
  </si>
  <si>
    <t>LN</t>
    <phoneticPr fontId="1" type="noConversion"/>
  </si>
  <si>
    <t>Number</t>
    <phoneticPr fontId="1" type="noConversion"/>
  </si>
  <si>
    <t>CK2</t>
  </si>
  <si>
    <t>CK2</t>
    <phoneticPr fontId="1" type="noConversion"/>
  </si>
  <si>
    <t>CK3</t>
  </si>
  <si>
    <t>CK4</t>
  </si>
  <si>
    <t>B2</t>
  </si>
  <si>
    <t>B2</t>
    <phoneticPr fontId="1" type="noConversion"/>
  </si>
  <si>
    <t>B3</t>
  </si>
  <si>
    <t>B4</t>
  </si>
  <si>
    <t>Y2</t>
  </si>
  <si>
    <t>Y2</t>
    <phoneticPr fontId="1" type="noConversion"/>
  </si>
  <si>
    <t>Y3</t>
  </si>
  <si>
    <t>Y4</t>
  </si>
  <si>
    <t>G2</t>
  </si>
  <si>
    <t>G2</t>
    <phoneticPr fontId="1" type="noConversion"/>
  </si>
  <si>
    <t>G3</t>
  </si>
  <si>
    <t>G4</t>
  </si>
  <si>
    <t>P2</t>
  </si>
  <si>
    <t>P2</t>
    <phoneticPr fontId="1" type="noConversion"/>
  </si>
  <si>
    <t>P3</t>
  </si>
  <si>
    <t>P4</t>
  </si>
  <si>
    <t>R2</t>
  </si>
  <si>
    <t>R2</t>
    <phoneticPr fontId="1" type="noConversion"/>
  </si>
  <si>
    <t>R3</t>
  </si>
  <si>
    <t>R4</t>
  </si>
  <si>
    <t>BJ</t>
    <phoneticPr fontId="1" type="noConversion"/>
  </si>
  <si>
    <t>SD</t>
    <phoneticPr fontId="1" type="noConversion"/>
  </si>
  <si>
    <t>SX</t>
    <phoneticPr fontId="1" type="noConversion"/>
  </si>
  <si>
    <t>SC</t>
    <phoneticPr fontId="1" type="noConversion"/>
  </si>
  <si>
    <t>HB</t>
    <phoneticPr fontId="1" type="noConversion"/>
  </si>
  <si>
    <t>FJ</t>
    <phoneticPr fontId="1" type="noConversion"/>
  </si>
  <si>
    <t>GX</t>
    <phoneticPr fontId="1" type="noConversion"/>
  </si>
  <si>
    <t>Invasive</t>
    <phoneticPr fontId="1" type="noConversion"/>
  </si>
  <si>
    <t>Native</t>
    <phoneticPr fontId="1" type="noConversion"/>
  </si>
  <si>
    <t>MA-GT</t>
    <phoneticPr fontId="1" type="noConversion"/>
  </si>
  <si>
    <t>MA-CC</t>
    <phoneticPr fontId="1" type="noConversion"/>
  </si>
  <si>
    <t>SC-HV</t>
    <phoneticPr fontId="1" type="noConversion"/>
  </si>
  <si>
    <t>GA-DA</t>
    <phoneticPr fontId="1" type="noConversion"/>
  </si>
  <si>
    <t>LA-NO</t>
    <phoneticPr fontId="1" type="noConversion"/>
  </si>
  <si>
    <t>TX-HT</t>
    <phoneticPr fontId="1" type="noConversion"/>
  </si>
  <si>
    <t>FL-SA</t>
    <phoneticPr fontId="1" type="noConversion"/>
  </si>
  <si>
    <t>FL-UF</t>
    <phoneticPr fontId="1" type="noConversion"/>
  </si>
  <si>
    <t>A(Unkowns)</t>
    <phoneticPr fontId="1" type="noConversion"/>
  </si>
  <si>
    <t>A(Control)</t>
    <phoneticPr fontId="1" type="noConversion"/>
  </si>
  <si>
    <t>Au-Ac</t>
    <phoneticPr fontId="1" type="noConversion"/>
  </si>
  <si>
    <t>Root-TP</t>
    <phoneticPr fontId="1" type="noConversion"/>
  </si>
  <si>
    <t>Leaf-TP</t>
    <phoneticPr fontId="1" type="noConversion"/>
  </si>
  <si>
    <t>Root-TF</t>
    <phoneticPr fontId="1" type="noConversion"/>
  </si>
  <si>
    <t>Leaf-TF</t>
    <phoneticPr fontId="1" type="noConversion"/>
  </si>
  <si>
    <t>Root-Lignin</t>
    <phoneticPr fontId="1" type="noConversion"/>
  </si>
  <si>
    <t>Leaf-Lignin</t>
    <phoneticPr fontId="1" type="noConversion"/>
  </si>
  <si>
    <t>A2</t>
    <phoneticPr fontId="1" type="noConversion"/>
  </si>
  <si>
    <t>A1</t>
    <phoneticPr fontId="1" type="noConversion"/>
  </si>
  <si>
    <t>A2-A1</t>
    <phoneticPr fontId="1" type="noConversion"/>
  </si>
  <si>
    <t>min</t>
    <phoneticPr fontId="1" type="noConversion"/>
  </si>
  <si>
    <t>532-600</t>
    <phoneticPr fontId="1" type="noConversion"/>
  </si>
  <si>
    <t>Dilution multiple</t>
  </si>
  <si>
    <t>Dilution multiple</t>
    <phoneticPr fontId="1" type="noConversion"/>
  </si>
  <si>
    <t>Leaf-POD</t>
    <phoneticPr fontId="1" type="noConversion"/>
  </si>
  <si>
    <t>Leaf-MDA</t>
    <phoneticPr fontId="1" type="noConversion"/>
  </si>
  <si>
    <t>Labels</t>
    <phoneticPr fontId="1" type="noConversion"/>
  </si>
  <si>
    <t>Root-POD</t>
    <phoneticPr fontId="1" type="noConversion"/>
  </si>
  <si>
    <t>Root-MDA</t>
    <phoneticPr fontId="1" type="noConversion"/>
  </si>
  <si>
    <t>Leaf-TA</t>
    <phoneticPr fontId="1" type="noConversion"/>
  </si>
  <si>
    <t>Root-TA</t>
    <phoneticPr fontId="1" type="noConversion"/>
  </si>
  <si>
    <t>6.66666666666732E-05</t>
  </si>
  <si>
    <t>8.74999999999973E-05</t>
  </si>
  <si>
    <t>D</t>
    <phoneticPr fontId="1" type="noConversion"/>
  </si>
  <si>
    <t>mg/g</t>
    <phoneticPr fontId="1" type="noConversion"/>
  </si>
  <si>
    <t>ug/g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</si>
</sst>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00_ "/>
    <numFmt numFmtId="178" formatCode="0.00_ "/>
    <numFmt numFmtId="179" formatCode="0_ 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4CED-B791-514A-8F1B-098D1E7F67A0}">
  <dimension ref="A1:O289"/>
  <sheetViews>
    <sheetView tabSelected="1" topLeftCell="A271" zoomScale="115" workbookViewId="0">
      <selection activeCell="R26" sqref="R26"/>
    </sheetView>
  </sheetViews>
  <sheetFormatPr baseColWidth="10" defaultRowHeight="16"/>
  <cols>
    <col min="1" max="1" width="9" style="1" bestFit="1" customWidth="1"/>
    <col min="2" max="2" width="11.6640625" style="1" bestFit="1" customWidth="1"/>
    <col min="3" max="3" width="9.1640625" style="1" bestFit="1" customWidth="1"/>
    <col min="4" max="4" width="9.33203125" style="1" bestFit="1" customWidth="1"/>
    <col min="5" max="5" width="9" style="1" bestFit="1" customWidth="1"/>
    <col min="6" max="6" width="9.1640625" style="1" bestFit="1" customWidth="1"/>
    <col min="7" max="7" width="9" style="1" bestFit="1" customWidth="1"/>
    <col min="8" max="9" width="9" style="1" customWidth="1"/>
    <col min="10" max="10" width="12.6640625" style="1" bestFit="1" customWidth="1"/>
    <col min="11" max="11" width="12.1640625" style="1" bestFit="1" customWidth="1"/>
    <col min="12" max="12" width="12.1640625" style="1" customWidth="1"/>
    <col min="13" max="13" width="10.6640625" style="1" bestFit="1" customWidth="1"/>
    <col min="14" max="14" width="10.6640625" style="1" customWidth="1"/>
    <col min="15" max="15" width="11" style="1" bestFit="1" customWidth="1"/>
  </cols>
  <sheetData>
    <row r="1" spans="1:15">
      <c r="A1" s="1" t="s">
        <v>0</v>
      </c>
      <c r="B1" s="1" t="s">
        <v>1</v>
      </c>
      <c r="C1" s="1" t="s">
        <v>63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67</v>
      </c>
      <c r="I1" s="1" t="s">
        <v>66</v>
      </c>
      <c r="J1" s="1" t="s">
        <v>52</v>
      </c>
      <c r="K1" s="1" t="s">
        <v>53</v>
      </c>
      <c r="L1" s="1" t="s">
        <v>64</v>
      </c>
      <c r="M1" s="1" t="s">
        <v>61</v>
      </c>
      <c r="N1" s="1" t="s">
        <v>65</v>
      </c>
      <c r="O1" s="2" t="s">
        <v>62</v>
      </c>
    </row>
    <row r="2" spans="1:15">
      <c r="A2" s="1" t="s">
        <v>35</v>
      </c>
      <c r="B2" s="1" t="s">
        <v>28</v>
      </c>
      <c r="C2" s="1" t="s">
        <v>5</v>
      </c>
      <c r="D2" s="10">
        <v>6.8239023750000127</v>
      </c>
      <c r="E2" s="10">
        <v>13.640470874999998</v>
      </c>
      <c r="F2" s="10">
        <v>1.0679999999999998</v>
      </c>
      <c r="G2" s="10">
        <v>14.80187499999999</v>
      </c>
      <c r="H2" s="10">
        <v>100.3092095238095</v>
      </c>
      <c r="I2" s="10">
        <v>5.0167402999999995</v>
      </c>
      <c r="J2" s="10">
        <v>45.886327200000004</v>
      </c>
      <c r="K2" s="10">
        <v>67.798566000000008</v>
      </c>
      <c r="L2" s="11">
        <v>159.10000000000002</v>
      </c>
      <c r="M2" s="11">
        <v>473.8</v>
      </c>
      <c r="N2" s="11">
        <v>5.5986666666666638</v>
      </c>
      <c r="O2" s="11">
        <v>11.11119999999999</v>
      </c>
    </row>
    <row r="3" spans="1:15">
      <c r="A3" s="1" t="s">
        <v>35</v>
      </c>
      <c r="B3" s="1" t="s">
        <v>28</v>
      </c>
      <c r="C3" s="1" t="s">
        <v>6</v>
      </c>
      <c r="D3" s="10">
        <v>5.6003973750000142</v>
      </c>
      <c r="E3" s="10">
        <v>13.541731874999998</v>
      </c>
      <c r="F3" s="10">
        <v>1.1994</v>
      </c>
      <c r="G3" s="10">
        <v>16.595874999999989</v>
      </c>
      <c r="H3" s="10">
        <v>113.15574285714284</v>
      </c>
      <c r="I3" s="10">
        <v>4.8483831000000004</v>
      </c>
      <c r="J3" s="10">
        <v>47.154636000000004</v>
      </c>
      <c r="K3" s="10">
        <v>78.184116000000017</v>
      </c>
      <c r="L3" s="11">
        <v>192.60000000000002</v>
      </c>
      <c r="M3" s="11">
        <v>397.1</v>
      </c>
      <c r="N3" s="11">
        <v>5.5017666666666649</v>
      </c>
      <c r="O3" s="11">
        <v>10.497499999999986</v>
      </c>
    </row>
    <row r="4" spans="1:15">
      <c r="A4" s="1" t="s">
        <v>35</v>
      </c>
      <c r="B4" s="1" t="s">
        <v>28</v>
      </c>
      <c r="C4" s="1" t="s">
        <v>7</v>
      </c>
      <c r="D4" s="10">
        <v>5.7635313750000128</v>
      </c>
      <c r="E4" s="10">
        <v>9.9957138749999999</v>
      </c>
      <c r="F4" s="10">
        <v>1.0134000000000001</v>
      </c>
      <c r="G4" s="10">
        <v>11.804874999999988</v>
      </c>
      <c r="H4" s="10">
        <v>103.2069238095238</v>
      </c>
      <c r="I4" s="10">
        <v>5.6394590999999998</v>
      </c>
      <c r="J4" s="10">
        <v>57.376843200000003</v>
      </c>
      <c r="K4" s="10">
        <v>78.579756000000003</v>
      </c>
      <c r="L4" s="11">
        <v>199.49999999999997</v>
      </c>
      <c r="M4" s="11">
        <v>428.2</v>
      </c>
      <c r="N4" s="11">
        <v>8.1503666666666632</v>
      </c>
      <c r="O4" s="11">
        <v>8.397999999999989</v>
      </c>
    </row>
    <row r="5" spans="1:15">
      <c r="A5" s="1" t="s">
        <v>35</v>
      </c>
      <c r="B5" s="1" t="s">
        <v>28</v>
      </c>
      <c r="C5" s="1" t="s">
        <v>9</v>
      </c>
      <c r="D5" s="10">
        <v>6.6478893750000143</v>
      </c>
      <c r="E5" s="10">
        <v>11.365180874999997</v>
      </c>
      <c r="F5" s="10">
        <v>1.1100000000000001</v>
      </c>
      <c r="G5" s="10">
        <v>14.48087499999999</v>
      </c>
      <c r="H5" s="10">
        <v>113.54210476190477</v>
      </c>
      <c r="I5" s="10">
        <v>7.0765805000000004</v>
      </c>
      <c r="J5" s="10">
        <v>33.2371512</v>
      </c>
      <c r="K5" s="10">
        <v>54.869616000000001</v>
      </c>
      <c r="L5" s="11">
        <v>220.5</v>
      </c>
      <c r="M5" s="11">
        <v>498.50000000000006</v>
      </c>
      <c r="N5" s="11">
        <v>4.7588666666666635</v>
      </c>
      <c r="O5" s="11">
        <v>8.9147999999999907</v>
      </c>
    </row>
    <row r="6" spans="1:15">
      <c r="A6" s="1" t="s">
        <v>35</v>
      </c>
      <c r="B6" s="1" t="s">
        <v>28</v>
      </c>
      <c r="C6" s="1" t="s">
        <v>10</v>
      </c>
      <c r="D6" s="10">
        <v>7.2231513750000138</v>
      </c>
      <c r="E6" s="10">
        <v>15.932932874999999</v>
      </c>
      <c r="F6" s="10">
        <v>1.1016000000000001</v>
      </c>
      <c r="G6" s="10">
        <v>10.550874999999991</v>
      </c>
      <c r="H6" s="10">
        <v>90.746752380952373</v>
      </c>
      <c r="I6" s="10">
        <v>4.9437178999999993</v>
      </c>
      <c r="J6" s="10">
        <v>55.127347199999996</v>
      </c>
      <c r="K6" s="10">
        <v>56.254356000000001</v>
      </c>
      <c r="L6" s="11">
        <v>155.29999999999998</v>
      </c>
      <c r="M6" s="11">
        <v>583.1</v>
      </c>
      <c r="N6" s="11">
        <v>4.2420666666666644</v>
      </c>
      <c r="O6" s="11">
        <v>10.271399999999986</v>
      </c>
    </row>
    <row r="7" spans="1:15">
      <c r="A7" s="1" t="s">
        <v>35</v>
      </c>
      <c r="B7" s="1" t="s">
        <v>28</v>
      </c>
      <c r="C7" s="1" t="s">
        <v>11</v>
      </c>
      <c r="D7" s="10">
        <v>6.4804623750000125</v>
      </c>
      <c r="E7" s="10">
        <v>11.176288874999999</v>
      </c>
      <c r="F7" s="10">
        <v>1.0553999999999999</v>
      </c>
      <c r="G7" s="10">
        <v>12.479874999999991</v>
      </c>
      <c r="H7" s="10">
        <v>109.96825714285713</v>
      </c>
      <c r="I7" s="10">
        <v>6.2043685000000002</v>
      </c>
      <c r="J7" s="10">
        <v>26.935171200000003</v>
      </c>
      <c r="K7" s="10">
        <v>71.246285999999998</v>
      </c>
      <c r="L7" s="11">
        <v>237.09999999999997</v>
      </c>
      <c r="M7" s="11">
        <v>485.50000000000006</v>
      </c>
      <c r="N7" s="11">
        <v>6.7937666666666638</v>
      </c>
      <c r="O7" s="11">
        <v>11.660299999999998</v>
      </c>
    </row>
    <row r="8" spans="1:15">
      <c r="A8" s="1" t="s">
        <v>35</v>
      </c>
      <c r="B8" s="1" t="s">
        <v>28</v>
      </c>
      <c r="C8" s="1" t="s">
        <v>13</v>
      </c>
      <c r="D8" s="10">
        <v>5.7807033750000141</v>
      </c>
      <c r="E8" s="10">
        <v>11.459626875</v>
      </c>
      <c r="F8" s="10">
        <v>0.93540000000000001</v>
      </c>
      <c r="G8" s="10">
        <v>13.031874999999989</v>
      </c>
      <c r="H8" s="10">
        <v>82.343380952380926</v>
      </c>
      <c r="I8" s="10">
        <v>6.9305357000000001</v>
      </c>
      <c r="J8" s="10">
        <v>29.817691200000002</v>
      </c>
      <c r="K8" s="10">
        <v>44.159076000000006</v>
      </c>
      <c r="L8" s="11">
        <v>230.29999999999998</v>
      </c>
      <c r="M8" s="11">
        <v>578.70000000000005</v>
      </c>
      <c r="N8" s="11">
        <v>5.8570666666666655</v>
      </c>
      <c r="O8" s="11">
        <v>12.564699999999988</v>
      </c>
    </row>
    <row r="9" spans="1:15">
      <c r="A9" s="1" t="s">
        <v>35</v>
      </c>
      <c r="B9" s="1" t="s">
        <v>28</v>
      </c>
      <c r="C9" s="1" t="s">
        <v>14</v>
      </c>
      <c r="D9" s="10">
        <v>7.4249223750000146</v>
      </c>
      <c r="E9" s="10">
        <v>11.292199874999998</v>
      </c>
      <c r="F9" s="10">
        <v>1.0908</v>
      </c>
      <c r="G9" s="10">
        <v>11.531874999999989</v>
      </c>
      <c r="H9" s="10">
        <v>166.37709523809525</v>
      </c>
      <c r="I9" s="10">
        <v>5.4873291000000002</v>
      </c>
      <c r="J9" s="10">
        <v>51.928315200000007</v>
      </c>
      <c r="K9" s="10">
        <v>91.296756000000002</v>
      </c>
      <c r="L9" s="11">
        <v>219.2</v>
      </c>
      <c r="M9" s="11">
        <v>510.29999999999995</v>
      </c>
      <c r="N9" s="11">
        <v>5.4048666666666643</v>
      </c>
      <c r="O9" s="11">
        <v>10.917399999999983</v>
      </c>
    </row>
    <row r="10" spans="1:15">
      <c r="A10" s="1" t="s">
        <v>35</v>
      </c>
      <c r="B10" s="1" t="s">
        <v>28</v>
      </c>
      <c r="C10" s="1" t="s">
        <v>15</v>
      </c>
      <c r="D10" s="10">
        <v>6.931227375000014</v>
      </c>
      <c r="E10" s="10">
        <v>11.176288874999999</v>
      </c>
      <c r="F10" s="10">
        <v>0.90539999999999998</v>
      </c>
      <c r="G10" s="10">
        <v>11.114874999999991</v>
      </c>
      <c r="H10" s="10">
        <v>76.161590476190469</v>
      </c>
      <c r="I10" s="10">
        <v>4.4741432999999997</v>
      </c>
      <c r="J10" s="10">
        <v>24.363511200000001</v>
      </c>
      <c r="K10" s="10">
        <v>69.960456000000008</v>
      </c>
      <c r="L10" s="11">
        <v>201.79999999999998</v>
      </c>
      <c r="M10" s="11">
        <v>498.8</v>
      </c>
      <c r="N10" s="11">
        <v>4.0805666666666642</v>
      </c>
      <c r="O10" s="11">
        <v>15.988499999999988</v>
      </c>
    </row>
    <row r="11" spans="1:15">
      <c r="A11" s="1" t="s">
        <v>35</v>
      </c>
      <c r="B11" s="1" t="s">
        <v>28</v>
      </c>
      <c r="C11" s="1" t="s">
        <v>17</v>
      </c>
      <c r="D11" s="10">
        <v>6.3087423750000147</v>
      </c>
      <c r="E11" s="10">
        <v>10.180312874999998</v>
      </c>
      <c r="F11" s="10">
        <v>1.0391999999999999</v>
      </c>
      <c r="G11" s="10">
        <v>12.40487499999999</v>
      </c>
      <c r="H11" s="10">
        <v>80.508161904761891</v>
      </c>
      <c r="I11" s="10">
        <v>3.9741426999999998</v>
      </c>
      <c r="J11" s="10">
        <v>61.293679199999993</v>
      </c>
      <c r="K11" s="10">
        <v>47.522015999999994</v>
      </c>
      <c r="L11" s="11">
        <v>299.10000000000002</v>
      </c>
      <c r="M11" s="11">
        <v>491.3</v>
      </c>
      <c r="N11" s="11">
        <v>6.7614666666666654</v>
      </c>
      <c r="O11" s="11">
        <v>13.565999999999997</v>
      </c>
    </row>
    <row r="12" spans="1:15">
      <c r="A12" s="1" t="s">
        <v>35</v>
      </c>
      <c r="B12" s="1" t="s">
        <v>28</v>
      </c>
      <c r="C12" s="1" t="s">
        <v>18</v>
      </c>
      <c r="D12" s="10">
        <v>6.1756593750000137</v>
      </c>
      <c r="E12" s="10">
        <v>11.657104875</v>
      </c>
      <c r="F12" s="10">
        <v>1.2846</v>
      </c>
      <c r="G12" s="10">
        <v>12.977874999999989</v>
      </c>
      <c r="H12" s="10">
        <v>116.53640952380951</v>
      </c>
      <c r="I12" s="10">
        <v>6.1769851000000005</v>
      </c>
      <c r="J12" s="10">
        <v>46.931947200000003</v>
      </c>
      <c r="K12" s="10">
        <v>57.822786000000001</v>
      </c>
      <c r="L12" s="11">
        <v>543.69999999999993</v>
      </c>
      <c r="M12" s="11">
        <v>487.9</v>
      </c>
      <c r="N12" s="11">
        <v>4.8557666666666632</v>
      </c>
      <c r="O12" s="11">
        <v>13.242999999999988</v>
      </c>
    </row>
    <row r="13" spans="1:15">
      <c r="A13" s="1" t="s">
        <v>35</v>
      </c>
      <c r="B13" s="1" t="s">
        <v>28</v>
      </c>
      <c r="C13" s="1" t="s">
        <v>19</v>
      </c>
      <c r="D13" s="10">
        <v>7.4077503750000133</v>
      </c>
      <c r="E13" s="10">
        <v>9.6436878749999977</v>
      </c>
      <c r="F13" s="10">
        <v>0.97199999999999998</v>
      </c>
      <c r="G13" s="10">
        <v>11.186874999999992</v>
      </c>
      <c r="H13" s="10">
        <v>96.638771428571417</v>
      </c>
      <c r="I13" s="10">
        <v>17.716045600000001</v>
      </c>
      <c r="J13" s="10">
        <v>55.460815199999999</v>
      </c>
      <c r="K13" s="10">
        <v>48.369816</v>
      </c>
      <c r="L13" s="11">
        <v>186.9</v>
      </c>
      <c r="M13" s="11">
        <v>378.09999999999997</v>
      </c>
      <c r="N13" s="11">
        <v>4.1128666666666653</v>
      </c>
      <c r="O13" s="11">
        <v>8.1395999999999891</v>
      </c>
    </row>
    <row r="14" spans="1:15">
      <c r="A14" s="1" t="s">
        <v>35</v>
      </c>
      <c r="B14" s="1" t="s">
        <v>28</v>
      </c>
      <c r="C14" s="1" t="s">
        <v>21</v>
      </c>
      <c r="D14" s="10">
        <v>6.2142963750000142</v>
      </c>
      <c r="E14" s="10">
        <v>12.799042875</v>
      </c>
      <c r="F14" s="10">
        <v>1.4094</v>
      </c>
      <c r="G14" s="10">
        <v>14.732874999999991</v>
      </c>
      <c r="H14" s="10">
        <v>218.72913333333329</v>
      </c>
      <c r="I14" s="10">
        <v>4.4416888999999999</v>
      </c>
      <c r="J14" s="10">
        <v>59.083747199999991</v>
      </c>
      <c r="K14" s="10">
        <v>58.23255600000001</v>
      </c>
      <c r="L14" s="11">
        <v>263.10000000000002</v>
      </c>
      <c r="M14" s="11">
        <v>498.3</v>
      </c>
      <c r="N14" s="11">
        <v>4.4681666666666633</v>
      </c>
      <c r="O14" s="11">
        <v>10.045299999999985</v>
      </c>
    </row>
    <row r="15" spans="1:15">
      <c r="A15" s="1" t="s">
        <v>35</v>
      </c>
      <c r="B15" s="1" t="s">
        <v>28</v>
      </c>
      <c r="C15" s="1" t="s">
        <v>22</v>
      </c>
      <c r="D15" s="10">
        <v>4.4670453750000148</v>
      </c>
      <c r="E15" s="10">
        <v>11.790187874999999</v>
      </c>
      <c r="F15" s="10">
        <v>1.1016000000000001</v>
      </c>
      <c r="G15" s="10">
        <v>14.672874999999991</v>
      </c>
      <c r="H15" s="10">
        <v>132.57042857142855</v>
      </c>
      <c r="I15" s="10">
        <v>10.1039675</v>
      </c>
      <c r="J15" s="10">
        <v>70.630783199999996</v>
      </c>
      <c r="K15" s="10">
        <v>48.906756000000001</v>
      </c>
      <c r="L15" s="11">
        <v>200.7</v>
      </c>
      <c r="M15" s="11">
        <v>531.70000000000005</v>
      </c>
      <c r="N15" s="11">
        <v>5.3402666666666647</v>
      </c>
      <c r="O15" s="11">
        <v>13.049199999999987</v>
      </c>
    </row>
    <row r="16" spans="1:15">
      <c r="A16" s="1" t="s">
        <v>35</v>
      </c>
      <c r="B16" s="1" t="s">
        <v>28</v>
      </c>
      <c r="C16" s="1" t="s">
        <v>23</v>
      </c>
      <c r="D16" s="10">
        <v>6.7766793750000138</v>
      </c>
      <c r="E16" s="10">
        <v>13.219756875</v>
      </c>
      <c r="F16" s="10">
        <v>1.05</v>
      </c>
      <c r="G16" s="10">
        <v>16.517874999999989</v>
      </c>
      <c r="H16" s="10">
        <v>123.68410476190475</v>
      </c>
      <c r="I16" s="10">
        <v>7.4487918999999998</v>
      </c>
      <c r="J16" s="10">
        <v>38.770459199999998</v>
      </c>
      <c r="K16" s="10">
        <v>43.579746000000007</v>
      </c>
      <c r="L16" s="11">
        <v>157.5</v>
      </c>
      <c r="M16" s="11">
        <v>509.50000000000006</v>
      </c>
      <c r="N16" s="11">
        <v>5.7278666666666656</v>
      </c>
      <c r="O16" s="11">
        <v>11.175799999999985</v>
      </c>
    </row>
    <row r="17" spans="1:15">
      <c r="A17" s="1" t="s">
        <v>35</v>
      </c>
      <c r="B17" s="1" t="s">
        <v>28</v>
      </c>
      <c r="C17" s="1" t="s">
        <v>25</v>
      </c>
      <c r="D17" s="10">
        <v>7.9100313750000151</v>
      </c>
      <c r="E17" s="10">
        <v>12.996520875</v>
      </c>
      <c r="F17" s="10">
        <v>1.1952</v>
      </c>
      <c r="G17" s="10">
        <v>12.254874999999991</v>
      </c>
      <c r="H17" s="10">
        <v>112.1898380952381</v>
      </c>
      <c r="I17" s="10">
        <v>7.6759727</v>
      </c>
      <c r="J17" s="10">
        <v>45.078091200000003</v>
      </c>
      <c r="K17" s="10">
        <v>82.225296</v>
      </c>
      <c r="L17" s="11">
        <v>323.79999999999995</v>
      </c>
      <c r="M17" s="11">
        <v>523.9</v>
      </c>
      <c r="N17" s="11">
        <v>6.4707666666666652</v>
      </c>
      <c r="O17" s="11">
        <v>11.918699999999985</v>
      </c>
    </row>
    <row r="18" spans="1:15">
      <c r="A18" s="1" t="s">
        <v>35</v>
      </c>
      <c r="B18" s="1" t="s">
        <v>28</v>
      </c>
      <c r="C18" s="1" t="s">
        <v>26</v>
      </c>
      <c r="D18" s="10">
        <v>7.2059793750000152</v>
      </c>
      <c r="E18" s="10">
        <v>13.151068874999998</v>
      </c>
      <c r="F18" s="10">
        <v>1.4687999999999999</v>
      </c>
      <c r="G18" s="10">
        <v>14.816874999999991</v>
      </c>
      <c r="H18" s="10">
        <v>162.12711428571427</v>
      </c>
      <c r="I18" s="10">
        <v>6.6749572999999991</v>
      </c>
      <c r="J18" s="10">
        <v>70.642087199999992</v>
      </c>
      <c r="K18" s="10">
        <v>88.541405999999995</v>
      </c>
      <c r="L18" s="11">
        <v>265.49999999999994</v>
      </c>
      <c r="M18" s="11">
        <v>446.70000000000005</v>
      </c>
      <c r="N18" s="11">
        <v>6.7291666666666661</v>
      </c>
      <c r="O18" s="11">
        <v>12.112500000000001</v>
      </c>
    </row>
    <row r="19" spans="1:15">
      <c r="A19" s="1" t="s">
        <v>35</v>
      </c>
      <c r="B19" s="1" t="s">
        <v>28</v>
      </c>
      <c r="C19" s="1" t="s">
        <v>27</v>
      </c>
      <c r="D19" s="10">
        <v>6.9183483750000132</v>
      </c>
      <c r="E19" s="10">
        <v>16.160461874999999</v>
      </c>
      <c r="F19" s="10">
        <v>1.2215999999999998</v>
      </c>
      <c r="G19" s="10">
        <v>15.059874999999989</v>
      </c>
      <c r="H19" s="10">
        <v>107.16713333333331</v>
      </c>
      <c r="I19" s="10">
        <v>7.8483867000000007</v>
      </c>
      <c r="J19" s="10">
        <v>69.703855199999992</v>
      </c>
      <c r="K19" s="10">
        <v>35.765856000000007</v>
      </c>
      <c r="L19" s="11">
        <v>212.89999999999998</v>
      </c>
      <c r="M19" s="11">
        <v>526.59999999999991</v>
      </c>
      <c r="N19" s="11">
        <v>4.1451666666666647</v>
      </c>
      <c r="O19" s="11">
        <v>14.470399999999996</v>
      </c>
    </row>
    <row r="20" spans="1:15">
      <c r="A20" s="1" t="s">
        <v>35</v>
      </c>
      <c r="B20" s="1" t="s">
        <v>2</v>
      </c>
      <c r="C20" s="1" t="s">
        <v>5</v>
      </c>
      <c r="D20" s="10">
        <v>5.8365123750000141</v>
      </c>
      <c r="E20" s="10">
        <v>9.6651528749999986</v>
      </c>
      <c r="F20" s="10">
        <v>0.98939999999999995</v>
      </c>
      <c r="G20" s="10">
        <v>8.93987499999999</v>
      </c>
      <c r="H20" s="10">
        <v>68.80461587301555</v>
      </c>
      <c r="I20" s="10">
        <v>6.5081214000000003</v>
      </c>
      <c r="J20" s="10">
        <v>34.641108000000003</v>
      </c>
      <c r="K20" s="10">
        <v>61.310069999999996</v>
      </c>
      <c r="L20" s="11">
        <v>219.4</v>
      </c>
      <c r="M20" s="11">
        <v>585.09999999999991</v>
      </c>
      <c r="N20" s="11">
        <v>5.1141666666666552</v>
      </c>
      <c r="O20" s="11">
        <v>13.841895833333329</v>
      </c>
    </row>
    <row r="21" spans="1:15">
      <c r="A21" s="1" t="s">
        <v>35</v>
      </c>
      <c r="B21" s="1" t="s">
        <v>2</v>
      </c>
      <c r="C21" s="1" t="s">
        <v>6</v>
      </c>
      <c r="D21" s="10">
        <v>6.3988953750000128</v>
      </c>
      <c r="E21" s="10">
        <v>8.8194318749999994</v>
      </c>
      <c r="F21" s="10">
        <v>1.3074000000000001</v>
      </c>
      <c r="G21" s="10">
        <v>6.9268749999999901</v>
      </c>
      <c r="H21" s="10">
        <v>108.50330158730127</v>
      </c>
      <c r="I21" s="10">
        <v>4.3914859999999996</v>
      </c>
      <c r="J21" s="10">
        <v>28.734767999999999</v>
      </c>
      <c r="K21" s="10">
        <v>61.40898</v>
      </c>
      <c r="L21" s="11">
        <v>326.49999999999994</v>
      </c>
      <c r="M21" s="11">
        <v>508.90000000000003</v>
      </c>
      <c r="N21" s="11">
        <v>5.4371666666666663</v>
      </c>
      <c r="O21" s="11">
        <v>10.353495833333342</v>
      </c>
    </row>
    <row r="22" spans="1:15">
      <c r="A22" s="1" t="s">
        <v>35</v>
      </c>
      <c r="B22" s="1" t="s">
        <v>2</v>
      </c>
      <c r="C22" s="1" t="s">
        <v>7</v>
      </c>
      <c r="D22" s="10">
        <v>5.4286773750000137</v>
      </c>
      <c r="E22" s="10">
        <v>11.124772875</v>
      </c>
      <c r="F22" s="10">
        <v>1.1255999999999999</v>
      </c>
      <c r="G22" s="10">
        <v>8.4358749999999905</v>
      </c>
      <c r="H22" s="10">
        <v>143.95200634920604</v>
      </c>
      <c r="I22" s="10">
        <v>3.6886454</v>
      </c>
      <c r="J22" s="10">
        <v>52.286651999999997</v>
      </c>
      <c r="K22" s="10">
        <v>75.652019999999993</v>
      </c>
      <c r="L22" s="11">
        <v>311.29999999999995</v>
      </c>
      <c r="M22" s="11">
        <v>462.99999999999994</v>
      </c>
      <c r="N22" s="11">
        <v>6.5999666666666652</v>
      </c>
      <c r="O22" s="11">
        <v>13.583495833333343</v>
      </c>
    </row>
    <row r="23" spans="1:15">
      <c r="A23" s="1" t="s">
        <v>35</v>
      </c>
      <c r="B23" s="1" t="s">
        <v>2</v>
      </c>
      <c r="C23" s="1" t="s">
        <v>9</v>
      </c>
      <c r="D23" s="10">
        <v>4.9864983750000142</v>
      </c>
      <c r="E23" s="10">
        <v>7.5272388750000001</v>
      </c>
      <c r="F23" s="10">
        <v>1.0044</v>
      </c>
      <c r="G23" s="10">
        <v>7.6108749999999912</v>
      </c>
      <c r="H23" s="10">
        <v>110.7248825396822</v>
      </c>
      <c r="I23" s="10">
        <v>5.1987892000000002</v>
      </c>
      <c r="J23" s="10">
        <v>44.232551999999998</v>
      </c>
      <c r="K23" s="10">
        <v>39.973770000000009</v>
      </c>
      <c r="L23" s="11">
        <v>144.19999999999999</v>
      </c>
      <c r="M23" s="11">
        <v>440.7</v>
      </c>
      <c r="N23" s="11">
        <v>6.793766666666655</v>
      </c>
      <c r="O23" s="11">
        <v>12.614495833333331</v>
      </c>
    </row>
    <row r="24" spans="1:15">
      <c r="A24" s="1" t="s">
        <v>35</v>
      </c>
      <c r="B24" s="1" t="s">
        <v>2</v>
      </c>
      <c r="C24" s="1" t="s">
        <v>10</v>
      </c>
      <c r="D24" s="10">
        <v>5.9137863750000133</v>
      </c>
      <c r="E24" s="10">
        <v>9.5449488750000011</v>
      </c>
      <c r="F24" s="10">
        <v>1.0895999999999999</v>
      </c>
      <c r="G24" s="10">
        <v>8.2798749999999899</v>
      </c>
      <c r="H24" s="10">
        <v>139.21907301587268</v>
      </c>
      <c r="I24" s="10">
        <v>3.8904711999999995</v>
      </c>
      <c r="J24" s="10">
        <v>62.737200000000001</v>
      </c>
      <c r="K24" s="10">
        <v>52.747289999999992</v>
      </c>
      <c r="L24" s="11">
        <v>161.60000000000002</v>
      </c>
      <c r="M24" s="11">
        <v>573.19999999999993</v>
      </c>
      <c r="N24" s="11">
        <v>4.4681666666666553</v>
      </c>
      <c r="O24" s="11">
        <v>14.810895833333344</v>
      </c>
    </row>
    <row r="25" spans="1:15">
      <c r="A25" s="1" t="s">
        <v>35</v>
      </c>
      <c r="B25" s="1" t="s">
        <v>2</v>
      </c>
      <c r="C25" s="1" t="s">
        <v>11</v>
      </c>
      <c r="D25" s="10">
        <v>6.9183483750000132</v>
      </c>
      <c r="E25" s="10">
        <v>9.1070628749999987</v>
      </c>
      <c r="F25" s="10">
        <v>0.77939999999999998</v>
      </c>
      <c r="G25" s="10">
        <v>7.4008749999999885</v>
      </c>
      <c r="H25" s="10">
        <v>70.83301587301554</v>
      </c>
      <c r="I25" s="10">
        <v>6.7586288000000003</v>
      </c>
      <c r="J25" s="10">
        <v>18.109007999999999</v>
      </c>
      <c r="K25" s="10">
        <v>39.733559999999997</v>
      </c>
      <c r="L25" s="11">
        <v>112.4</v>
      </c>
      <c r="M25" s="11">
        <v>497.99999999999994</v>
      </c>
      <c r="N25" s="11">
        <v>7.0844666666666543</v>
      </c>
      <c r="O25" s="11">
        <v>13.002095833333334</v>
      </c>
    </row>
    <row r="26" spans="1:15">
      <c r="A26" s="1" t="s">
        <v>35</v>
      </c>
      <c r="B26" s="1" t="s">
        <v>2</v>
      </c>
      <c r="C26" s="1" t="s">
        <v>13</v>
      </c>
      <c r="D26" s="10">
        <v>5.1668043750000141</v>
      </c>
      <c r="E26" s="10">
        <v>12.352570875</v>
      </c>
      <c r="F26" s="10">
        <v>1.0350000000000001</v>
      </c>
      <c r="G26" s="10">
        <v>13.715874999999993</v>
      </c>
      <c r="H26" s="10">
        <v>115.65099682539649</v>
      </c>
      <c r="I26" s="10">
        <v>4.4797213999999999</v>
      </c>
      <c r="J26" s="10">
        <v>38.235780000000005</v>
      </c>
      <c r="K26" s="10">
        <v>37.23255000000001</v>
      </c>
      <c r="L26" s="11">
        <v>323.5</v>
      </c>
      <c r="M26" s="11">
        <v>492</v>
      </c>
      <c r="N26" s="11">
        <v>6.4384666666666561</v>
      </c>
      <c r="O26" s="11">
        <v>14.100295833333343</v>
      </c>
    </row>
    <row r="27" spans="1:15">
      <c r="A27" s="1" t="s">
        <v>35</v>
      </c>
      <c r="B27" s="1" t="s">
        <v>2</v>
      </c>
      <c r="C27" s="1" t="s">
        <v>14</v>
      </c>
      <c r="D27" s="10">
        <v>5.8450983750000143</v>
      </c>
      <c r="E27" s="10">
        <v>12.167971874999999</v>
      </c>
      <c r="F27" s="10">
        <v>1.3368</v>
      </c>
      <c r="G27" s="10">
        <v>15.722874999999988</v>
      </c>
      <c r="H27" s="10">
        <v>187.03135873015842</v>
      </c>
      <c r="I27" s="10">
        <v>4.6582205999999999</v>
      </c>
      <c r="J27" s="10">
        <v>47.782007999999998</v>
      </c>
      <c r="K27" s="10">
        <v>38.80098000000001</v>
      </c>
      <c r="L27" s="11">
        <v>523.99999999999989</v>
      </c>
      <c r="M27" s="11">
        <v>406</v>
      </c>
      <c r="N27" s="11">
        <v>7.181366666666662</v>
      </c>
      <c r="O27" s="11">
        <v>13.002095833333334</v>
      </c>
    </row>
    <row r="28" spans="1:15">
      <c r="A28" s="1" t="s">
        <v>35</v>
      </c>
      <c r="B28" s="1" t="s">
        <v>2</v>
      </c>
      <c r="C28" s="1" t="s">
        <v>15</v>
      </c>
      <c r="D28" s="10">
        <v>5.5102443750000134</v>
      </c>
      <c r="E28" s="10">
        <v>12.442723874999997</v>
      </c>
      <c r="F28" s="10">
        <v>0.76139999999999985</v>
      </c>
      <c r="G28" s="10">
        <v>14.83787499999999</v>
      </c>
      <c r="H28" s="10">
        <v>60.208063492063175</v>
      </c>
      <c r="I28" s="10">
        <v>8.1257703999999986</v>
      </c>
      <c r="J28" s="10">
        <v>32.606388000000003</v>
      </c>
      <c r="K28" s="10">
        <v>29.814300000000003</v>
      </c>
      <c r="L28" s="11">
        <v>250</v>
      </c>
      <c r="M28" s="11">
        <v>537.90000000000009</v>
      </c>
      <c r="N28" s="11">
        <v>6.3738666666666655</v>
      </c>
      <c r="O28" s="11">
        <v>12.065395833333332</v>
      </c>
    </row>
    <row r="29" spans="1:15">
      <c r="A29" s="1" t="s">
        <v>35</v>
      </c>
      <c r="B29" s="1" t="s">
        <v>2</v>
      </c>
      <c r="C29" s="1" t="s">
        <v>17</v>
      </c>
      <c r="D29" s="10">
        <v>6.4289463750000131</v>
      </c>
      <c r="E29" s="10">
        <v>10.965931875000001</v>
      </c>
      <c r="F29" s="10">
        <v>0.94019999999999981</v>
      </c>
      <c r="G29" s="10">
        <v>15.050874999999991</v>
      </c>
      <c r="H29" s="10">
        <v>118.93507301587266</v>
      </c>
      <c r="I29" s="10">
        <v>5.1937182000000011</v>
      </c>
      <c r="J29" s="10">
        <v>39.467915999999995</v>
      </c>
      <c r="K29" s="10">
        <v>32.654430000000005</v>
      </c>
      <c r="L29" s="11">
        <v>258.29999999999995</v>
      </c>
      <c r="M29" s="11">
        <v>501.30000000000007</v>
      </c>
      <c r="N29" s="11">
        <v>8.2795666666666534</v>
      </c>
      <c r="O29" s="11">
        <v>13.228195833333332</v>
      </c>
    </row>
    <row r="30" spans="1:15">
      <c r="A30" s="1" t="s">
        <v>35</v>
      </c>
      <c r="B30" s="1" t="s">
        <v>2</v>
      </c>
      <c r="C30" s="1" t="s">
        <v>18</v>
      </c>
      <c r="D30" s="10">
        <v>7.1845143750000142</v>
      </c>
      <c r="E30" s="10">
        <v>12.356863875</v>
      </c>
      <c r="F30" s="10">
        <v>1.0289999999999999</v>
      </c>
      <c r="G30" s="10">
        <v>13.568874999999988</v>
      </c>
      <c r="H30" s="10">
        <v>86.480673015872654</v>
      </c>
      <c r="I30" s="10">
        <v>5.5517308000000005</v>
      </c>
      <c r="J30" s="10">
        <v>33.889391999999994</v>
      </c>
      <c r="K30" s="10">
        <v>56.364570000000015</v>
      </c>
      <c r="L30" s="11">
        <v>217.9</v>
      </c>
      <c r="M30" s="11">
        <v>507.59999999999997</v>
      </c>
      <c r="N30" s="11">
        <v>6.2769666666666639</v>
      </c>
      <c r="O30" s="11">
        <v>14.229495833333333</v>
      </c>
    </row>
    <row r="31" spans="1:15">
      <c r="A31" s="1" t="s">
        <v>35</v>
      </c>
      <c r="B31" s="1" t="s">
        <v>2</v>
      </c>
      <c r="C31" s="1" t="s">
        <v>19</v>
      </c>
      <c r="D31" s="10">
        <v>5.256957375000014</v>
      </c>
      <c r="E31" s="10">
        <v>12.013423874999999</v>
      </c>
      <c r="F31" s="10">
        <v>0.879</v>
      </c>
      <c r="G31" s="10">
        <v>13.23887499999999</v>
      </c>
      <c r="H31" s="10">
        <v>98.264711111110785</v>
      </c>
      <c r="I31" s="10">
        <v>6.1937194</v>
      </c>
      <c r="J31" s="10">
        <v>36.008892000000003</v>
      </c>
      <c r="K31" s="10">
        <v>45.258390000000006</v>
      </c>
      <c r="L31" s="11">
        <v>190.5</v>
      </c>
      <c r="M31" s="11">
        <v>489.3</v>
      </c>
      <c r="N31" s="11">
        <v>6.7614666666666654</v>
      </c>
      <c r="O31" s="11">
        <v>12.711395833333343</v>
      </c>
    </row>
    <row r="32" spans="1:15">
      <c r="A32" s="1" t="s">
        <v>35</v>
      </c>
      <c r="B32" s="1" t="s">
        <v>2</v>
      </c>
      <c r="C32" s="1" t="s">
        <v>21</v>
      </c>
      <c r="D32" s="10">
        <v>4.7117463750000139</v>
      </c>
      <c r="E32" s="10">
        <v>10.176019875</v>
      </c>
      <c r="F32" s="10">
        <v>1.1801999999999999</v>
      </c>
      <c r="G32" s="10">
        <v>7.7338749999999905</v>
      </c>
      <c r="H32" s="10">
        <v>177.95185396825369</v>
      </c>
      <c r="I32" s="10">
        <v>3.9127836000000005</v>
      </c>
      <c r="J32" s="10">
        <v>50.280192</v>
      </c>
      <c r="K32" s="10">
        <v>81.770309999999995</v>
      </c>
      <c r="L32" s="11">
        <v>308.40000000000003</v>
      </c>
      <c r="M32" s="11">
        <v>497.5</v>
      </c>
      <c r="N32" s="11">
        <v>7.8273666666666637</v>
      </c>
      <c r="O32" s="11">
        <v>10.418095833333334</v>
      </c>
    </row>
    <row r="33" spans="1:15">
      <c r="A33" s="1" t="s">
        <v>35</v>
      </c>
      <c r="B33" s="1" t="s">
        <v>2</v>
      </c>
      <c r="C33" s="1" t="s">
        <v>22</v>
      </c>
      <c r="D33" s="10">
        <v>5.2397853750000145</v>
      </c>
      <c r="E33" s="10">
        <v>7.4327928749999996</v>
      </c>
      <c r="F33" s="10">
        <v>1.0164</v>
      </c>
      <c r="G33" s="10">
        <v>8.2858749999999919</v>
      </c>
      <c r="H33" s="10">
        <v>122.31573968253934</v>
      </c>
      <c r="I33" s="10">
        <v>3.7677529999999995</v>
      </c>
      <c r="J33" s="10">
        <v>35.765855999999999</v>
      </c>
      <c r="K33" s="10">
        <v>37.628189999999996</v>
      </c>
      <c r="L33" s="11">
        <v>248.9</v>
      </c>
      <c r="M33" s="11">
        <v>440.8</v>
      </c>
      <c r="N33" s="11">
        <v>7.0844666666666543</v>
      </c>
      <c r="O33" s="11">
        <v>11.48399583333334</v>
      </c>
    </row>
    <row r="34" spans="1:15">
      <c r="A34" s="1" t="s">
        <v>35</v>
      </c>
      <c r="B34" s="1" t="s">
        <v>2</v>
      </c>
      <c r="C34" s="1" t="s">
        <v>23</v>
      </c>
      <c r="D34" s="10">
        <v>5.6862573750000145</v>
      </c>
      <c r="E34" s="10">
        <v>7.9479528749999995</v>
      </c>
      <c r="F34" s="10">
        <v>1.0062</v>
      </c>
      <c r="G34" s="10">
        <v>8.5018749999999912</v>
      </c>
      <c r="H34" s="10">
        <v>97.202215873015518</v>
      </c>
      <c r="I34" s="10">
        <v>4.4077131999999999</v>
      </c>
      <c r="J34" s="10">
        <v>62.884151999999993</v>
      </c>
      <c r="K34" s="10">
        <v>54.174419999999998</v>
      </c>
      <c r="L34" s="11">
        <v>279.49999999999994</v>
      </c>
      <c r="M34" s="11">
        <v>360.3</v>
      </c>
      <c r="N34" s="11">
        <v>5.630966666666664</v>
      </c>
      <c r="O34" s="11">
        <v>12.872895833333333</v>
      </c>
    </row>
    <row r="35" spans="1:15">
      <c r="A35" s="1" t="s">
        <v>35</v>
      </c>
      <c r="B35" s="1" t="s">
        <v>2</v>
      </c>
      <c r="C35" s="1" t="s">
        <v>25</v>
      </c>
      <c r="D35" s="10">
        <v>6.1499013750000131</v>
      </c>
      <c r="E35" s="10">
        <v>9.4633818749999978</v>
      </c>
      <c r="F35" s="10">
        <v>1.1711999999999998</v>
      </c>
      <c r="G35" s="10">
        <v>8.8048749999999902</v>
      </c>
      <c r="H35" s="10">
        <v>126.8554920634917</v>
      </c>
      <c r="I35" s="10">
        <v>6.526377000000001</v>
      </c>
      <c r="J35" s="10">
        <v>56.909987999999991</v>
      </c>
      <c r="K35" s="10">
        <v>40.058549999999997</v>
      </c>
      <c r="L35" s="11">
        <v>227.39999999999998</v>
      </c>
      <c r="M35" s="11">
        <v>466.70000000000005</v>
      </c>
      <c r="N35" s="11">
        <v>4.9526666666666648</v>
      </c>
      <c r="O35" s="11">
        <v>12.808295833333334</v>
      </c>
    </row>
    <row r="36" spans="1:15">
      <c r="A36" s="1" t="s">
        <v>35</v>
      </c>
      <c r="B36" s="1" t="s">
        <v>2</v>
      </c>
      <c r="C36" s="1" t="s">
        <v>26</v>
      </c>
      <c r="D36" s="10">
        <v>5.2870083750000143</v>
      </c>
      <c r="E36" s="10">
        <v>8.0853288750000001</v>
      </c>
      <c r="F36" s="10">
        <v>0.91559999999999997</v>
      </c>
      <c r="G36" s="10">
        <v>7.7128749999999897</v>
      </c>
      <c r="H36" s="10">
        <v>69.287568253967933</v>
      </c>
      <c r="I36" s="10">
        <v>7.4198871999999998</v>
      </c>
      <c r="J36" s="10">
        <v>31.176431999999998</v>
      </c>
      <c r="K36" s="10">
        <v>39.196620000000003</v>
      </c>
      <c r="L36" s="11">
        <v>218.20000000000002</v>
      </c>
      <c r="M36" s="11">
        <v>464.5</v>
      </c>
      <c r="N36" s="11">
        <v>5.8570666666666549</v>
      </c>
      <c r="O36" s="11">
        <v>12.711395833333331</v>
      </c>
    </row>
    <row r="37" spans="1:15">
      <c r="A37" s="1" t="s">
        <v>35</v>
      </c>
      <c r="B37" s="1" t="s">
        <v>2</v>
      </c>
      <c r="C37" s="1" t="s">
        <v>27</v>
      </c>
      <c r="D37" s="10">
        <v>5.4458493750000141</v>
      </c>
      <c r="E37" s="10">
        <v>11.180581875</v>
      </c>
      <c r="F37" s="10">
        <v>1.1117999999999999</v>
      </c>
      <c r="G37" s="10">
        <v>8.9038749999999904</v>
      </c>
      <c r="H37" s="10">
        <v>87.639758730158391</v>
      </c>
      <c r="I37" s="10">
        <v>10.2515336</v>
      </c>
      <c r="J37" s="10">
        <v>43.384752000000006</v>
      </c>
      <c r="K37" s="10">
        <v>70.480440000000002</v>
      </c>
      <c r="L37" s="11">
        <v>226.29999999999998</v>
      </c>
      <c r="M37" s="11">
        <v>395.8</v>
      </c>
      <c r="N37" s="11">
        <v>5.7601666666666649</v>
      </c>
      <c r="O37" s="11">
        <v>9.352195833333333</v>
      </c>
    </row>
    <row r="38" spans="1:15">
      <c r="A38" s="1" t="s">
        <v>35</v>
      </c>
      <c r="B38" s="1" t="s">
        <v>29</v>
      </c>
      <c r="C38" s="1" t="s">
        <v>5</v>
      </c>
      <c r="D38" s="10">
        <v>6.1041093750000002</v>
      </c>
      <c r="E38" s="10">
        <v>10.661307750000013</v>
      </c>
      <c r="F38" s="10">
        <v>0.91189999999999816</v>
      </c>
      <c r="G38" s="10">
        <v>11.737625000000012</v>
      </c>
      <c r="H38" s="10">
        <v>16.130609523809522</v>
      </c>
      <c r="I38" s="10">
        <v>5.6032859666666646</v>
      </c>
      <c r="J38" s="10">
        <v>32.192473200000187</v>
      </c>
      <c r="K38" s="10">
        <v>62.233701000000053</v>
      </c>
      <c r="L38" s="11">
        <v>233.60000000000002</v>
      </c>
      <c r="M38" s="11">
        <v>446.9</v>
      </c>
      <c r="N38" s="11">
        <v>6.6807166666666502</v>
      </c>
      <c r="O38" s="11">
        <v>13.12994999999999</v>
      </c>
    </row>
    <row r="39" spans="1:15">
      <c r="A39" s="1" t="s">
        <v>35</v>
      </c>
      <c r="B39" s="1" t="s">
        <v>29</v>
      </c>
      <c r="C39" s="1" t="s">
        <v>6</v>
      </c>
      <c r="D39" s="10">
        <v>5.5331403749999994</v>
      </c>
      <c r="E39" s="10">
        <v>13.851006750000014</v>
      </c>
      <c r="F39" s="10">
        <v>1.163299999999998</v>
      </c>
      <c r="G39" s="10">
        <v>16.55562500000001</v>
      </c>
      <c r="H39" s="10">
        <v>66.840609523809505</v>
      </c>
      <c r="I39" s="10">
        <v>7.6144445666666636</v>
      </c>
      <c r="J39" s="10">
        <v>49.142821200000192</v>
      </c>
      <c r="K39" s="10">
        <v>44.330991000000047</v>
      </c>
      <c r="L39" s="11">
        <v>254.60000000000005</v>
      </c>
      <c r="M39" s="11">
        <v>383.7</v>
      </c>
      <c r="N39" s="11">
        <v>5.0334166666666524</v>
      </c>
      <c r="O39" s="11">
        <v>9.3185499999999877</v>
      </c>
    </row>
    <row r="40" spans="1:15">
      <c r="A40" s="1" t="s">
        <v>35</v>
      </c>
      <c r="B40" s="1" t="s">
        <v>29</v>
      </c>
      <c r="C40" s="1" t="s">
        <v>7</v>
      </c>
      <c r="D40" s="10">
        <v>6.0697653749999994</v>
      </c>
      <c r="E40" s="10">
        <v>11.974965750000013</v>
      </c>
      <c r="F40" s="10">
        <v>1.084699999999998</v>
      </c>
      <c r="G40" s="10">
        <v>13.33362500000001</v>
      </c>
      <c r="H40" s="10">
        <v>59.209961904761883</v>
      </c>
      <c r="I40" s="10">
        <v>4.8811755666666627</v>
      </c>
      <c r="J40" s="10">
        <v>61.034629200000175</v>
      </c>
      <c r="K40" s="10">
        <v>80.842911000000043</v>
      </c>
      <c r="L40" s="11">
        <v>184.6</v>
      </c>
      <c r="M40" s="11">
        <v>421.70000000000005</v>
      </c>
      <c r="N40" s="11">
        <v>8.5218166666666519</v>
      </c>
      <c r="O40" s="11">
        <v>12.613149999999989</v>
      </c>
    </row>
    <row r="41" spans="1:15">
      <c r="A41" s="1" t="s">
        <v>35</v>
      </c>
      <c r="B41" s="1" t="s">
        <v>29</v>
      </c>
      <c r="C41" s="1" t="s">
        <v>9</v>
      </c>
      <c r="D41" s="10">
        <v>6.2801223749999995</v>
      </c>
      <c r="E41" s="10">
        <v>8.798145750000014</v>
      </c>
      <c r="F41" s="10">
        <v>0.83809999999999796</v>
      </c>
      <c r="G41" s="10">
        <v>8.0746250000000099</v>
      </c>
      <c r="H41" s="10">
        <v>27.818057142857135</v>
      </c>
      <c r="I41" s="10">
        <v>8.9896997666666643</v>
      </c>
      <c r="J41" s="10">
        <v>30.898165200000022</v>
      </c>
      <c r="K41" s="10">
        <v>71.700801000000041</v>
      </c>
      <c r="L41" s="11">
        <v>212.4</v>
      </c>
      <c r="M41" s="11">
        <v>493.20000000000005</v>
      </c>
      <c r="N41" s="11">
        <v>5.1949166666666518</v>
      </c>
      <c r="O41" s="11">
        <v>11.708749999999988</v>
      </c>
    </row>
    <row r="42" spans="1:15">
      <c r="A42" s="1" t="s">
        <v>35</v>
      </c>
      <c r="B42" s="1" t="s">
        <v>29</v>
      </c>
      <c r="C42" s="1" t="s">
        <v>10</v>
      </c>
      <c r="D42" s="10">
        <v>6.5892183749999989</v>
      </c>
      <c r="E42" s="10">
        <v>9.6653317500000142</v>
      </c>
      <c r="F42" s="10">
        <v>1.0834999999999981</v>
      </c>
      <c r="G42" s="10">
        <v>9.5416250000000105</v>
      </c>
      <c r="H42" s="10">
        <v>43.658895238095241</v>
      </c>
      <c r="I42" s="10">
        <v>6.5109949666666633</v>
      </c>
      <c r="J42" s="10">
        <v>24.437929200000017</v>
      </c>
      <c r="K42" s="10">
        <v>83.626521000000054</v>
      </c>
      <c r="L42" s="11">
        <v>212.2</v>
      </c>
      <c r="M42" s="11">
        <v>440.00000000000006</v>
      </c>
      <c r="N42" s="11">
        <v>7.1975166666666519</v>
      </c>
      <c r="O42" s="11">
        <v>13.582149999999988</v>
      </c>
    </row>
    <row r="43" spans="1:15">
      <c r="A43" s="1" t="s">
        <v>35</v>
      </c>
      <c r="B43" s="1" t="s">
        <v>29</v>
      </c>
      <c r="C43" s="1" t="s">
        <v>11</v>
      </c>
      <c r="D43" s="10">
        <v>7.3662513749999992</v>
      </c>
      <c r="E43" s="10">
        <v>9.8155867500000156</v>
      </c>
      <c r="F43" s="10">
        <v>0.91249999999999798</v>
      </c>
      <c r="G43" s="10">
        <v>9.9166250000000105</v>
      </c>
      <c r="H43" s="10">
        <v>67.999695238095242</v>
      </c>
      <c r="I43" s="10">
        <v>5.9663695666666632</v>
      </c>
      <c r="J43" s="10">
        <v>19.006357200000021</v>
      </c>
      <c r="K43" s="10">
        <v>83.146101000000044</v>
      </c>
      <c r="L43" s="11">
        <v>205.9</v>
      </c>
      <c r="M43" s="11">
        <v>440.2</v>
      </c>
      <c r="N43" s="11">
        <v>6.0024166666666519</v>
      </c>
      <c r="O43" s="11">
        <v>12.193249999999988</v>
      </c>
    </row>
    <row r="44" spans="1:15">
      <c r="A44" s="1" t="s">
        <v>35</v>
      </c>
      <c r="B44" s="1" t="s">
        <v>29</v>
      </c>
      <c r="C44" s="1" t="s">
        <v>13</v>
      </c>
      <c r="D44" s="10">
        <v>5.370006375</v>
      </c>
      <c r="E44" s="10">
        <v>10.897422750000013</v>
      </c>
      <c r="F44" s="10">
        <v>0.85369999999999802</v>
      </c>
      <c r="G44" s="10">
        <v>12.496625000000011</v>
      </c>
      <c r="H44" s="10">
        <v>44.6248</v>
      </c>
      <c r="I44" s="10">
        <v>8.7848313666666638</v>
      </c>
      <c r="J44" s="10">
        <v>34.605877200000187</v>
      </c>
      <c r="K44" s="10">
        <v>74.215941000000043</v>
      </c>
      <c r="L44" s="11">
        <v>303.59999999999991</v>
      </c>
      <c r="M44" s="11">
        <v>496</v>
      </c>
      <c r="N44" s="11">
        <v>6.8099166666666511</v>
      </c>
      <c r="O44" s="11">
        <v>13.905149999999985</v>
      </c>
    </row>
    <row r="45" spans="1:15">
      <c r="A45" s="1" t="s">
        <v>35</v>
      </c>
      <c r="B45" s="1" t="s">
        <v>29</v>
      </c>
      <c r="C45" s="1" t="s">
        <v>14</v>
      </c>
      <c r="D45" s="10">
        <v>7.555143375000001</v>
      </c>
      <c r="E45" s="10">
        <v>10.622670750000013</v>
      </c>
      <c r="F45" s="10">
        <v>1.3432999999999979</v>
      </c>
      <c r="G45" s="10">
        <v>11.02662500000001</v>
      </c>
      <c r="H45" s="10">
        <v>153.19249523809526</v>
      </c>
      <c r="I45" s="10">
        <v>14.7951496</v>
      </c>
      <c r="J45" s="10">
        <v>63.001525200000188</v>
      </c>
      <c r="K45" s="10">
        <v>100.24340100000003</v>
      </c>
      <c r="L45" s="11">
        <v>213.69999999999996</v>
      </c>
      <c r="M45" s="11">
        <v>481.1</v>
      </c>
      <c r="N45" s="11">
        <v>7.7466166666666512</v>
      </c>
      <c r="O45" s="11">
        <v>9.6738499999999856</v>
      </c>
    </row>
    <row r="46" spans="1:15">
      <c r="A46" s="1" t="s">
        <v>35</v>
      </c>
      <c r="B46" s="1" t="s">
        <v>29</v>
      </c>
      <c r="C46" s="1" t="s">
        <v>15</v>
      </c>
      <c r="D46" s="10">
        <v>5.6919813750000001</v>
      </c>
      <c r="E46" s="10">
        <v>8.5663237500000147</v>
      </c>
      <c r="F46" s="10">
        <v>0.939499999999998</v>
      </c>
      <c r="G46" s="10">
        <v>8.5126250000000105</v>
      </c>
      <c r="H46" s="10">
        <v>81.522361904761908</v>
      </c>
      <c r="I46" s="10">
        <v>3.2483135666666634</v>
      </c>
      <c r="J46" s="10">
        <v>40.840033200000192</v>
      </c>
      <c r="K46" s="10">
        <v>86.339481000000049</v>
      </c>
      <c r="L46" s="11">
        <v>419.59999999999997</v>
      </c>
      <c r="M46" s="11">
        <v>360.4</v>
      </c>
      <c r="N46" s="11">
        <v>7.8112166666666525</v>
      </c>
      <c r="O46" s="11">
        <v>12.031749999999999</v>
      </c>
    </row>
    <row r="47" spans="1:15">
      <c r="A47" s="1" t="s">
        <v>35</v>
      </c>
      <c r="B47" s="1" t="s">
        <v>29</v>
      </c>
      <c r="C47" s="1" t="s">
        <v>17</v>
      </c>
      <c r="D47" s="10">
        <v>5.9109243749999996</v>
      </c>
      <c r="E47" s="10">
        <v>11.069142750000013</v>
      </c>
      <c r="F47" s="10">
        <v>0.86929999999999785</v>
      </c>
      <c r="G47" s="10">
        <v>11.620625000000011</v>
      </c>
      <c r="H47" s="10">
        <v>50.227047619047624</v>
      </c>
      <c r="I47" s="10">
        <v>17.066957599999999</v>
      </c>
      <c r="J47" s="10">
        <v>26.014837200000017</v>
      </c>
      <c r="K47" s="10">
        <v>40.402851000000062</v>
      </c>
      <c r="L47" s="11">
        <v>272.20000000000005</v>
      </c>
      <c r="M47" s="11">
        <v>768.50000000000011</v>
      </c>
      <c r="N47" s="11">
        <v>6.3254166666666523</v>
      </c>
      <c r="O47" s="11">
        <v>10.061449999999997</v>
      </c>
    </row>
    <row r="48" spans="1:15">
      <c r="A48" s="1" t="s">
        <v>35</v>
      </c>
      <c r="B48" s="1" t="s">
        <v>29</v>
      </c>
      <c r="C48" s="1" t="s">
        <v>18</v>
      </c>
      <c r="D48" s="10">
        <v>5.4773313749999994</v>
      </c>
      <c r="E48" s="10">
        <v>14.516421750000017</v>
      </c>
      <c r="F48" s="10">
        <v>1.2166999999999979</v>
      </c>
      <c r="G48" s="10">
        <v>21.034625000000013</v>
      </c>
      <c r="H48" s="10">
        <v>196.07866666666666</v>
      </c>
      <c r="I48" s="10">
        <v>5.1499385666666626</v>
      </c>
      <c r="J48" s="10">
        <v>53.144437200000191</v>
      </c>
      <c r="K48" s="10">
        <v>44.641851000000045</v>
      </c>
      <c r="L48" s="11">
        <v>645.89999999999986</v>
      </c>
      <c r="M48" s="11">
        <v>367.3</v>
      </c>
      <c r="N48" s="11">
        <v>8.0373166666666513</v>
      </c>
      <c r="O48" s="11">
        <v>8.1557499999999852</v>
      </c>
    </row>
    <row r="49" spans="1:15">
      <c r="A49" s="1" t="s">
        <v>35</v>
      </c>
      <c r="B49" s="1" t="s">
        <v>29</v>
      </c>
      <c r="C49" s="1" t="s">
        <v>19</v>
      </c>
      <c r="D49" s="10">
        <v>6.4904793749999996</v>
      </c>
      <c r="E49" s="10">
        <v>13.447464750000012</v>
      </c>
      <c r="F49" s="10">
        <v>1.114699999999998</v>
      </c>
      <c r="G49" s="10">
        <v>14.86362500000001</v>
      </c>
      <c r="H49" s="10">
        <v>90.505276190476181</v>
      </c>
      <c r="I49" s="10">
        <v>3.7097745666666628</v>
      </c>
      <c r="J49" s="10">
        <v>37.318837200000189</v>
      </c>
      <c r="K49" s="10">
        <v>43.53971100000004</v>
      </c>
      <c r="L49" s="11">
        <v>512.70000000000005</v>
      </c>
      <c r="M49" s="11">
        <v>456.7</v>
      </c>
      <c r="N49" s="11">
        <v>6.9391166666666519</v>
      </c>
      <c r="O49" s="11">
        <v>12.968449999999997</v>
      </c>
    </row>
    <row r="50" spans="1:15">
      <c r="A50" s="1" t="s">
        <v>35</v>
      </c>
      <c r="B50" s="1" t="s">
        <v>29</v>
      </c>
      <c r="C50" s="1" t="s">
        <v>21</v>
      </c>
      <c r="D50" s="10">
        <v>6.5033583749999995</v>
      </c>
      <c r="E50" s="10">
        <v>10.674186750000015</v>
      </c>
      <c r="F50" s="10">
        <v>0.88369999999999804</v>
      </c>
      <c r="G50" s="10">
        <v>9.2806250000000112</v>
      </c>
      <c r="H50" s="10">
        <v>60.755409523809512</v>
      </c>
      <c r="I50" s="10">
        <v>13.294133599999999</v>
      </c>
      <c r="J50" s="10">
        <v>29.326909200000017</v>
      </c>
      <c r="K50" s="10">
        <v>57.655581000000033</v>
      </c>
      <c r="L50" s="11">
        <v>294</v>
      </c>
      <c r="M50" s="11">
        <v>489.39999999999992</v>
      </c>
      <c r="N50" s="11">
        <v>4.7750166666666525</v>
      </c>
      <c r="O50" s="11">
        <v>10.707449999999987</v>
      </c>
    </row>
    <row r="51" spans="1:15">
      <c r="A51" s="1" t="s">
        <v>35</v>
      </c>
      <c r="B51" s="1" t="s">
        <v>29</v>
      </c>
      <c r="C51" s="1" t="s">
        <v>22</v>
      </c>
      <c r="D51" s="10">
        <v>6.1427463749999989</v>
      </c>
      <c r="E51" s="10">
        <v>12.412851750000012</v>
      </c>
      <c r="F51" s="10">
        <v>0.87049999999999783</v>
      </c>
      <c r="G51" s="10">
        <v>11.188625000000012</v>
      </c>
      <c r="H51" s="10">
        <v>52.255447619047615</v>
      </c>
      <c r="I51" s="10">
        <v>15.9310536</v>
      </c>
      <c r="J51" s="10">
        <v>35.284117200000189</v>
      </c>
      <c r="K51" s="10">
        <v>49.728651000000056</v>
      </c>
      <c r="L51" s="11">
        <v>183.6</v>
      </c>
      <c r="M51" s="11">
        <v>508</v>
      </c>
      <c r="N51" s="11">
        <v>6.1639166666666529</v>
      </c>
      <c r="O51" s="11">
        <v>10.449049999999986</v>
      </c>
    </row>
    <row r="52" spans="1:15">
      <c r="A52" s="1" t="s">
        <v>35</v>
      </c>
      <c r="B52" s="1" t="s">
        <v>29</v>
      </c>
      <c r="C52" s="1" t="s">
        <v>23</v>
      </c>
      <c r="D52" s="10">
        <v>5.4945033749999999</v>
      </c>
      <c r="E52" s="10">
        <v>10.429485750000012</v>
      </c>
      <c r="F52" s="10">
        <v>0.90769999999999795</v>
      </c>
      <c r="G52" s="10">
        <v>10.666625000000012</v>
      </c>
      <c r="H52" s="10">
        <v>74.95420952380951</v>
      </c>
      <c r="I52" s="10">
        <v>3.5221475666666633</v>
      </c>
      <c r="J52" s="10">
        <v>46.152913200000192</v>
      </c>
      <c r="K52" s="10">
        <v>106.40408100000005</v>
      </c>
      <c r="L52" s="11">
        <v>241.9</v>
      </c>
      <c r="M52" s="11">
        <v>371.70000000000005</v>
      </c>
      <c r="N52" s="11">
        <v>6.4223166666666502</v>
      </c>
      <c r="O52" s="11">
        <v>14.648049999999904</v>
      </c>
    </row>
    <row r="53" spans="1:15">
      <c r="A53" s="1" t="s">
        <v>35</v>
      </c>
      <c r="B53" s="1" t="s">
        <v>29</v>
      </c>
      <c r="C53" s="1" t="s">
        <v>25</v>
      </c>
      <c r="D53" s="10">
        <v>7.1172573749999994</v>
      </c>
      <c r="E53" s="10">
        <v>8.853954750000014</v>
      </c>
      <c r="F53" s="10">
        <v>0.81289999999999796</v>
      </c>
      <c r="G53" s="10">
        <v>20.188625000000009</v>
      </c>
      <c r="H53" s="10">
        <v>54.187257142857142</v>
      </c>
      <c r="I53" s="10">
        <v>14.5517416</v>
      </c>
      <c r="J53" s="10">
        <v>33.368089200000192</v>
      </c>
      <c r="K53" s="10">
        <v>68.676981000000055</v>
      </c>
      <c r="L53" s="11">
        <v>247.00000000000006</v>
      </c>
      <c r="M53" s="11">
        <v>458.7</v>
      </c>
      <c r="N53" s="11">
        <v>5.905516666666653</v>
      </c>
      <c r="O53" s="11">
        <v>10.41674999999999</v>
      </c>
    </row>
    <row r="54" spans="1:15">
      <c r="A54" s="1" t="s">
        <v>35</v>
      </c>
      <c r="B54" s="1" t="s">
        <v>29</v>
      </c>
      <c r="C54" s="1" t="s">
        <v>26</v>
      </c>
      <c r="D54" s="10">
        <v>7.6538823749999993</v>
      </c>
      <c r="E54" s="10">
        <v>10.300695750000015</v>
      </c>
      <c r="F54" s="10">
        <v>1.088899999999998</v>
      </c>
      <c r="G54" s="10">
        <v>10.327625000000012</v>
      </c>
      <c r="H54" s="10">
        <v>106.73247619047618</v>
      </c>
      <c r="I54" s="10">
        <v>6.5383783666666639</v>
      </c>
      <c r="J54" s="10">
        <v>36.047137200000186</v>
      </c>
      <c r="K54" s="10">
        <v>86.141661000000042</v>
      </c>
      <c r="L54" s="11">
        <v>508.29999999999984</v>
      </c>
      <c r="M54" s="11">
        <v>383.9</v>
      </c>
      <c r="N54" s="11">
        <v>6.9391166666666519</v>
      </c>
      <c r="O54" s="11">
        <v>6.9606499999999993</v>
      </c>
    </row>
    <row r="55" spans="1:15">
      <c r="A55" s="1" t="s">
        <v>35</v>
      </c>
      <c r="B55" s="1" t="s">
        <v>29</v>
      </c>
      <c r="C55" s="1" t="s">
        <v>27</v>
      </c>
      <c r="D55" s="10">
        <v>6.4389633749999993</v>
      </c>
      <c r="E55" s="10">
        <v>11.425461750000014</v>
      </c>
      <c r="F55" s="10">
        <v>1.0264999999999977</v>
      </c>
      <c r="G55" s="10">
        <v>11.482625000000009</v>
      </c>
      <c r="H55" s="10">
        <v>79.107599999999991</v>
      </c>
      <c r="I55" s="10">
        <v>13.496973599999999</v>
      </c>
      <c r="J55" s="10">
        <v>35.555413200000196</v>
      </c>
      <c r="K55" s="10">
        <v>86.042751000000052</v>
      </c>
      <c r="L55" s="11">
        <v>207.3</v>
      </c>
      <c r="M55" s="11">
        <v>380.49999999999994</v>
      </c>
      <c r="N55" s="11">
        <v>6.0993166666666516</v>
      </c>
      <c r="O55" s="11">
        <v>10.675149999999986</v>
      </c>
    </row>
    <row r="56" spans="1:15">
      <c r="A56" s="1" t="s">
        <v>35</v>
      </c>
      <c r="B56" s="1" t="s">
        <v>30</v>
      </c>
      <c r="C56" s="1" t="s">
        <v>5</v>
      </c>
      <c r="D56" s="10">
        <v>8.2763673749999995</v>
      </c>
      <c r="E56" s="10">
        <v>11.356773750000015</v>
      </c>
      <c r="F56" s="10">
        <v>1.1344999999999981</v>
      </c>
      <c r="G56" s="10">
        <v>13.330625000000012</v>
      </c>
      <c r="H56" s="10">
        <v>75.372768253967934</v>
      </c>
      <c r="I56" s="10">
        <v>5.3343539333333361</v>
      </c>
      <c r="J56" s="10">
        <v>53.923471199999994</v>
      </c>
      <c r="K56" s="10">
        <v>81.149060999999961</v>
      </c>
      <c r="L56" s="11">
        <v>218.99999999999997</v>
      </c>
      <c r="M56" s="11">
        <v>109.64000000000001</v>
      </c>
      <c r="N56" s="11">
        <v>6.8745166666666524</v>
      </c>
      <c r="O56" s="11">
        <v>13.693854166666677</v>
      </c>
    </row>
    <row r="57" spans="1:15">
      <c r="A57" s="1" t="s">
        <v>35</v>
      </c>
      <c r="B57" s="1" t="s">
        <v>30</v>
      </c>
      <c r="C57" s="1" t="s">
        <v>6</v>
      </c>
      <c r="D57" s="10">
        <v>7.3061493749999995</v>
      </c>
      <c r="E57" s="10">
        <v>13.936866750000014</v>
      </c>
      <c r="F57" s="10">
        <v>1.1086999999999978</v>
      </c>
      <c r="G57" s="10">
        <v>16.870625000000015</v>
      </c>
      <c r="H57" s="10">
        <v>75.565949206348876</v>
      </c>
      <c r="I57" s="10">
        <v>3.2126475333333371</v>
      </c>
      <c r="J57" s="10">
        <v>36.204451200000001</v>
      </c>
      <c r="K57" s="10">
        <v>85.260890999999944</v>
      </c>
      <c r="L57" s="11">
        <v>369.4</v>
      </c>
      <c r="M57" s="11">
        <v>61.919999999999995</v>
      </c>
      <c r="N57" s="11">
        <v>6.9714166666666504</v>
      </c>
      <c r="O57" s="11">
        <v>17.053054166666683</v>
      </c>
    </row>
    <row r="58" spans="1:15">
      <c r="A58" s="1" t="s">
        <v>35</v>
      </c>
      <c r="B58" s="1" t="s">
        <v>30</v>
      </c>
      <c r="C58" s="1" t="s">
        <v>7</v>
      </c>
      <c r="D58" s="10">
        <v>7.155894374999999</v>
      </c>
      <c r="E58" s="10">
        <v>11.043384750000016</v>
      </c>
      <c r="F58" s="10">
        <v>1.0570999999999979</v>
      </c>
      <c r="G58" s="10">
        <v>13.819625000000009</v>
      </c>
      <c r="H58" s="10">
        <v>55.861492063491745</v>
      </c>
      <c r="I58" s="10">
        <v>4.2025067333333368</v>
      </c>
      <c r="J58" s="10">
        <v>33.666703200000008</v>
      </c>
      <c r="K58" s="10">
        <v>94.318220999999966</v>
      </c>
      <c r="L58" s="11">
        <v>207.90000000000003</v>
      </c>
      <c r="M58" s="11">
        <v>77.039999999999992</v>
      </c>
      <c r="N58" s="11">
        <v>6.2931166666666511</v>
      </c>
      <c r="O58" s="11">
        <v>13.532354166666675</v>
      </c>
    </row>
    <row r="59" spans="1:15">
      <c r="A59" s="1" t="s">
        <v>35</v>
      </c>
      <c r="B59" s="1" t="s">
        <v>30</v>
      </c>
      <c r="C59" s="1" t="s">
        <v>9</v>
      </c>
      <c r="D59" s="10">
        <v>7.2632193749999985</v>
      </c>
      <c r="E59" s="10">
        <v>11.584302750000013</v>
      </c>
      <c r="F59" s="10">
        <v>1.104499999999998</v>
      </c>
      <c r="G59" s="10">
        <v>14.386625000000009</v>
      </c>
      <c r="H59" s="10">
        <v>103.38400634920602</v>
      </c>
      <c r="I59" s="10">
        <v>4.4033183333333366</v>
      </c>
      <c r="J59" s="10">
        <v>24.702631200000003</v>
      </c>
      <c r="K59" s="10">
        <v>54.485750999999951</v>
      </c>
      <c r="L59" s="11">
        <v>228.6</v>
      </c>
      <c r="M59" s="11">
        <v>114.58000000000001</v>
      </c>
      <c r="N59" s="11">
        <v>6.9714166666666504</v>
      </c>
      <c r="O59" s="11">
        <v>7.815254166666679</v>
      </c>
    </row>
    <row r="60" spans="1:15">
      <c r="A60" s="1" t="s">
        <v>35</v>
      </c>
      <c r="B60" s="1" t="s">
        <v>30</v>
      </c>
      <c r="C60" s="1" t="s">
        <v>10</v>
      </c>
      <c r="D60" s="10">
        <v>6.8854353749999984</v>
      </c>
      <c r="E60" s="10">
        <v>10.553982750000012</v>
      </c>
      <c r="F60" s="10">
        <v>0.99409999999999799</v>
      </c>
      <c r="G60" s="10">
        <v>9.4486250000000105</v>
      </c>
      <c r="H60" s="10">
        <v>74.889815873015536</v>
      </c>
      <c r="I60" s="10">
        <v>5.5513927333333379</v>
      </c>
      <c r="J60" s="10">
        <v>22.6735632</v>
      </c>
      <c r="K60" s="10">
        <v>53.341220999999948</v>
      </c>
      <c r="L60" s="11">
        <v>256.2</v>
      </c>
      <c r="M60" s="11">
        <v>117.88000000000002</v>
      </c>
      <c r="N60" s="11">
        <v>6.3577166666666516</v>
      </c>
      <c r="O60" s="11">
        <v>9.5594541666666775</v>
      </c>
    </row>
    <row r="61" spans="1:15">
      <c r="A61" s="1" t="s">
        <v>35</v>
      </c>
      <c r="B61" s="1" t="s">
        <v>30</v>
      </c>
      <c r="C61" s="1" t="s">
        <v>11</v>
      </c>
      <c r="D61" s="10">
        <v>5.9409753749999998</v>
      </c>
      <c r="E61" s="10">
        <v>9.4034587500000146</v>
      </c>
      <c r="F61" s="10">
        <v>0.98569999999999791</v>
      </c>
      <c r="G61" s="10">
        <v>9.3376250000000098</v>
      </c>
      <c r="H61" s="10">
        <v>50.066063492063172</v>
      </c>
      <c r="I61" s="10">
        <v>8.0087993333333376</v>
      </c>
      <c r="J61" s="10">
        <v>17.846755200000004</v>
      </c>
      <c r="K61" s="10">
        <v>87.281480999999943</v>
      </c>
      <c r="L61" s="11">
        <v>269</v>
      </c>
      <c r="M61" s="11">
        <v>97.359999999999985</v>
      </c>
      <c r="N61" s="11">
        <v>5.8409166666666517</v>
      </c>
      <c r="O61" s="11">
        <v>11.045254166666675</v>
      </c>
    </row>
    <row r="62" spans="1:15">
      <c r="A62" s="1" t="s">
        <v>35</v>
      </c>
      <c r="B62" s="1" t="s">
        <v>30</v>
      </c>
      <c r="C62" s="1" t="s">
        <v>13</v>
      </c>
      <c r="D62" s="10">
        <v>5.8637013749999989</v>
      </c>
      <c r="E62" s="10">
        <v>11.004747750000012</v>
      </c>
      <c r="F62" s="10">
        <v>0.83269999999999789</v>
      </c>
      <c r="G62" s="10">
        <v>12.793625000000013</v>
      </c>
      <c r="H62" s="10">
        <v>29.492292063491742</v>
      </c>
      <c r="I62" s="10">
        <v>6.5463229333333368</v>
      </c>
      <c r="J62" s="10">
        <v>39.132187200000004</v>
      </c>
      <c r="K62" s="10">
        <v>44.326280999999952</v>
      </c>
      <c r="L62" s="11">
        <v>247.29999999999998</v>
      </c>
      <c r="M62" s="11">
        <v>90.36</v>
      </c>
      <c r="N62" s="11">
        <v>5.9378166666666514</v>
      </c>
      <c r="O62" s="11">
        <v>14.178354166666677</v>
      </c>
    </row>
    <row r="63" spans="1:15">
      <c r="A63" s="1" t="s">
        <v>35</v>
      </c>
      <c r="B63" s="1" t="s">
        <v>30</v>
      </c>
      <c r="C63" s="1" t="s">
        <v>14</v>
      </c>
      <c r="D63" s="10">
        <v>6.207141375</v>
      </c>
      <c r="E63" s="10">
        <v>13.297209750000013</v>
      </c>
      <c r="F63" s="10">
        <v>1.0492999999999979</v>
      </c>
      <c r="G63" s="10">
        <v>18.280625000000011</v>
      </c>
      <c r="H63" s="10">
        <v>132.1679682539679</v>
      </c>
      <c r="I63" s="10">
        <v>2.9874951333333368</v>
      </c>
      <c r="J63" s="10">
        <v>72.902887199999981</v>
      </c>
      <c r="K63" s="10">
        <v>65.676710999999955</v>
      </c>
      <c r="L63" s="11">
        <v>440.4</v>
      </c>
      <c r="M63" s="11">
        <v>49.5</v>
      </c>
      <c r="N63" s="11">
        <v>8.3926166666666511</v>
      </c>
      <c r="O63" s="11">
        <v>11.755854166666673</v>
      </c>
    </row>
    <row r="64" spans="1:15">
      <c r="A64" s="1" t="s">
        <v>35</v>
      </c>
      <c r="B64" s="1" t="s">
        <v>30</v>
      </c>
      <c r="C64" s="1" t="s">
        <v>15</v>
      </c>
      <c r="D64" s="10">
        <v>6.2586573749999994</v>
      </c>
      <c r="E64" s="10">
        <v>11.687334750000014</v>
      </c>
      <c r="F64" s="10">
        <v>0.9100999999999978</v>
      </c>
      <c r="G64" s="10">
        <v>16.519625000000012</v>
      </c>
      <c r="H64" s="10">
        <v>58.759206349206025</v>
      </c>
      <c r="I64" s="10">
        <v>6.4175195333333361</v>
      </c>
      <c r="J64" s="10">
        <v>55.183867200000002</v>
      </c>
      <c r="K64" s="10">
        <v>55.375940999999948</v>
      </c>
      <c r="L64" s="11">
        <v>273</v>
      </c>
      <c r="M64" s="11">
        <v>97.62</v>
      </c>
      <c r="N64" s="11">
        <v>5.0334166666666524</v>
      </c>
      <c r="O64" s="11">
        <v>14.695154166666677</v>
      </c>
    </row>
    <row r="65" spans="1:15">
      <c r="A65" s="1" t="s">
        <v>35</v>
      </c>
      <c r="B65" s="1" t="s">
        <v>30</v>
      </c>
      <c r="C65" s="1" t="s">
        <v>17</v>
      </c>
      <c r="D65" s="10">
        <v>5.6962743749999998</v>
      </c>
      <c r="E65" s="10">
        <v>12.412851750000012</v>
      </c>
      <c r="F65" s="10">
        <v>1.1356999999999982</v>
      </c>
      <c r="G65" s="10">
        <v>15.562625000000008</v>
      </c>
      <c r="H65" s="10">
        <v>85.418177777777444</v>
      </c>
      <c r="I65" s="10">
        <v>2.8597059333333368</v>
      </c>
      <c r="J65" s="10">
        <v>35.9727192</v>
      </c>
      <c r="K65" s="10">
        <v>80.400170999999958</v>
      </c>
      <c r="L65" s="11">
        <v>369.90000000000003</v>
      </c>
      <c r="M65" s="11">
        <v>80.599999999999994</v>
      </c>
      <c r="N65" s="11">
        <v>7.2621166666666523</v>
      </c>
      <c r="O65" s="11">
        <v>15.825654166666686</v>
      </c>
    </row>
    <row r="66" spans="1:15">
      <c r="A66" s="1" t="s">
        <v>35</v>
      </c>
      <c r="B66" s="1" t="s">
        <v>30</v>
      </c>
      <c r="C66" s="1" t="s">
        <v>18</v>
      </c>
      <c r="D66" s="10">
        <v>5.035152375</v>
      </c>
      <c r="E66" s="10">
        <v>9.613815750000013</v>
      </c>
      <c r="F66" s="10">
        <v>1.0576999999999979</v>
      </c>
      <c r="G66" s="10">
        <v>10.42062500000001</v>
      </c>
      <c r="H66" s="10">
        <v>77.690939682539337</v>
      </c>
      <c r="I66" s="10">
        <v>3.9469283333333363</v>
      </c>
      <c r="J66" s="10">
        <v>28.896415200000003</v>
      </c>
      <c r="K66" s="10">
        <v>100.74737099999994</v>
      </c>
      <c r="L66" s="11">
        <v>246.1</v>
      </c>
      <c r="M66" s="11">
        <v>66.960000000000008</v>
      </c>
      <c r="N66" s="11">
        <v>6.3254166666666531</v>
      </c>
      <c r="O66" s="11">
        <v>18.022054166666685</v>
      </c>
    </row>
    <row r="67" spans="1:15">
      <c r="A67" s="1" t="s">
        <v>35</v>
      </c>
      <c r="B67" s="1" t="s">
        <v>30</v>
      </c>
      <c r="C67" s="1" t="s">
        <v>19</v>
      </c>
      <c r="D67" s="10">
        <v>6.185676374999999</v>
      </c>
      <c r="E67" s="10">
        <v>8.9741587500000133</v>
      </c>
      <c r="F67" s="10">
        <v>0.85609999999999797</v>
      </c>
      <c r="G67" s="10">
        <v>10.678625000000011</v>
      </c>
      <c r="H67" s="10">
        <v>43.69109206349173</v>
      </c>
      <c r="I67" s="10">
        <v>4.7735013333333365</v>
      </c>
      <c r="J67" s="10">
        <v>28.020355200000001</v>
      </c>
      <c r="K67" s="10">
        <v>61.918130999999939</v>
      </c>
      <c r="L67" s="11">
        <v>265.40000000000003</v>
      </c>
      <c r="M67" s="11">
        <v>126.94000000000001</v>
      </c>
      <c r="N67" s="11">
        <v>7.2298166666666512</v>
      </c>
      <c r="O67" s="11">
        <v>16.310154166666688</v>
      </c>
    </row>
    <row r="68" spans="1:15">
      <c r="A68" s="1" t="s">
        <v>35</v>
      </c>
      <c r="B68" s="1" t="s">
        <v>30</v>
      </c>
      <c r="C68" s="1" t="s">
        <v>21</v>
      </c>
      <c r="D68" s="10">
        <v>6.2629503749999991</v>
      </c>
      <c r="E68" s="10">
        <v>11.155002750000012</v>
      </c>
      <c r="F68" s="10">
        <v>0.84709999999999808</v>
      </c>
      <c r="G68" s="10">
        <v>14.899625000000011</v>
      </c>
      <c r="H68" s="10">
        <v>40.600196825396502</v>
      </c>
      <c r="I68" s="10">
        <v>7.7562635333333372</v>
      </c>
      <c r="J68" s="10">
        <v>33.090199200000008</v>
      </c>
      <c r="K68" s="10">
        <v>51.221720999999953</v>
      </c>
      <c r="L68" s="11">
        <v>203.29999999999998</v>
      </c>
      <c r="M68" s="11">
        <v>128.04000000000002</v>
      </c>
      <c r="N68" s="11">
        <v>6.3577166666666516</v>
      </c>
      <c r="O68" s="11">
        <v>12.918654166666675</v>
      </c>
    </row>
    <row r="69" spans="1:15">
      <c r="A69" s="1" t="s">
        <v>35</v>
      </c>
      <c r="B69" s="1" t="s">
        <v>30</v>
      </c>
      <c r="C69" s="1" t="s">
        <v>22</v>
      </c>
      <c r="D69" s="10">
        <v>6.7008363749999988</v>
      </c>
      <c r="E69" s="10">
        <v>11.253741750000014</v>
      </c>
      <c r="F69" s="10">
        <v>0.81769999999999787</v>
      </c>
      <c r="G69" s="10">
        <v>12.86262500000001</v>
      </c>
      <c r="H69" s="10">
        <v>55.378539682539362</v>
      </c>
      <c r="I69" s="10">
        <v>9.5618776000000008</v>
      </c>
      <c r="J69" s="10">
        <v>31.937191199999997</v>
      </c>
      <c r="K69" s="10">
        <v>64.447400999999957</v>
      </c>
      <c r="L69" s="11">
        <v>206.39999999999998</v>
      </c>
      <c r="M69" s="11">
        <v>96.580000000000013</v>
      </c>
      <c r="N69" s="11">
        <v>6.6807166666666511</v>
      </c>
      <c r="O69" s="11">
        <v>8.8165541666666769</v>
      </c>
    </row>
    <row r="70" spans="1:15">
      <c r="A70" s="1" t="s">
        <v>35</v>
      </c>
      <c r="B70" s="1" t="s">
        <v>30</v>
      </c>
      <c r="C70" s="1" t="s">
        <v>23</v>
      </c>
      <c r="D70" s="10">
        <v>5.773548374999999</v>
      </c>
      <c r="E70" s="10">
        <v>11.781780750000014</v>
      </c>
      <c r="F70" s="10">
        <v>1.4362999999999979</v>
      </c>
      <c r="G70" s="10">
        <v>12.649625000000009</v>
      </c>
      <c r="H70" s="10">
        <v>144.82132063492028</v>
      </c>
      <c r="I70" s="10">
        <v>8.6294897333333367</v>
      </c>
      <c r="J70" s="10">
        <v>31.541551200000001</v>
      </c>
      <c r="K70" s="10">
        <v>85.896740999999949</v>
      </c>
      <c r="L70" s="11">
        <v>208.29999999999998</v>
      </c>
      <c r="M70" s="11">
        <v>100.59999999999998</v>
      </c>
      <c r="N70" s="11">
        <v>6.7453166666666515</v>
      </c>
      <c r="O70" s="11">
        <v>9.6563541666666772</v>
      </c>
    </row>
    <row r="71" spans="1:15">
      <c r="A71" s="1" t="s">
        <v>35</v>
      </c>
      <c r="B71" s="1" t="s">
        <v>30</v>
      </c>
      <c r="C71" s="1" t="s">
        <v>25</v>
      </c>
      <c r="D71" s="10">
        <v>6.4861863749999999</v>
      </c>
      <c r="E71" s="10">
        <v>12.490125750000013</v>
      </c>
      <c r="F71" s="10">
        <v>0.86389999999999789</v>
      </c>
      <c r="G71" s="10">
        <v>14.58762500000001</v>
      </c>
      <c r="H71" s="10">
        <v>43.787682539682201</v>
      </c>
      <c r="I71" s="10">
        <v>9.1345613333333375</v>
      </c>
      <c r="J71" s="10">
        <v>46.468483200000001</v>
      </c>
      <c r="K71" s="10">
        <v>39.55034099999996</v>
      </c>
      <c r="L71" s="11">
        <v>171.3</v>
      </c>
      <c r="M71" s="11">
        <v>125.94000000000001</v>
      </c>
      <c r="N71" s="11">
        <v>7.1006166666666513</v>
      </c>
      <c r="O71" s="11">
        <v>13.047854166666674</v>
      </c>
    </row>
    <row r="72" spans="1:15">
      <c r="A72" s="1" t="s">
        <v>35</v>
      </c>
      <c r="B72" s="1" t="s">
        <v>30</v>
      </c>
      <c r="C72" s="1" t="s">
        <v>26</v>
      </c>
      <c r="D72" s="10">
        <v>6.8382123749999995</v>
      </c>
      <c r="E72" s="10">
        <v>13.104024750000011</v>
      </c>
      <c r="F72" s="10">
        <v>1.2142999999999979</v>
      </c>
      <c r="G72" s="10">
        <v>15.544625000000009</v>
      </c>
      <c r="H72" s="10">
        <v>85.997720634920299</v>
      </c>
      <c r="I72" s="10">
        <v>5.5787761333333368</v>
      </c>
      <c r="J72" s="10">
        <v>46.609783199999995</v>
      </c>
      <c r="K72" s="10">
        <v>86.052170999999959</v>
      </c>
      <c r="L72" s="11">
        <v>247.89999999999998</v>
      </c>
      <c r="M72" s="11">
        <v>109.67999999999999</v>
      </c>
      <c r="N72" s="11">
        <v>5.3241166666666526</v>
      </c>
      <c r="O72" s="11">
        <v>16.665454166666684</v>
      </c>
    </row>
    <row r="73" spans="1:15">
      <c r="A73" s="1" t="s">
        <v>35</v>
      </c>
      <c r="B73" s="1" t="s">
        <v>30</v>
      </c>
      <c r="C73" s="1" t="s">
        <v>27</v>
      </c>
      <c r="D73" s="10">
        <v>6.7952823750000002</v>
      </c>
      <c r="E73" s="10">
        <v>12.550227750000014</v>
      </c>
      <c r="F73" s="10">
        <v>0.986899999999998</v>
      </c>
      <c r="G73" s="10">
        <v>16.606625000000012</v>
      </c>
      <c r="H73" s="10">
        <v>64.651225396825069</v>
      </c>
      <c r="I73" s="10">
        <v>3.1507813333333359</v>
      </c>
      <c r="J73" s="10">
        <v>53.889559200000001</v>
      </c>
      <c r="K73" s="10">
        <v>48.607670999999954</v>
      </c>
      <c r="L73" s="11">
        <v>220.39999999999998</v>
      </c>
      <c r="M73" s="11">
        <v>123.78</v>
      </c>
      <c r="N73" s="11">
        <v>6.3577166666666525</v>
      </c>
      <c r="O73" s="11">
        <v>11.820454166666675</v>
      </c>
    </row>
    <row r="74" spans="1:15">
      <c r="A74" s="1" t="s">
        <v>35</v>
      </c>
      <c r="B74" s="1" t="s">
        <v>31</v>
      </c>
      <c r="C74" s="1" t="s">
        <v>5</v>
      </c>
      <c r="D74" s="10">
        <v>4.5207078750000145</v>
      </c>
      <c r="E74" s="10">
        <v>13.539585374999998</v>
      </c>
      <c r="F74" s="10">
        <v>1.087275</v>
      </c>
      <c r="G74" s="10">
        <v>17.994</v>
      </c>
      <c r="H74" s="10">
        <v>97.331003174603481</v>
      </c>
      <c r="I74" s="10">
        <v>6.0743818666666636</v>
      </c>
      <c r="J74" s="10">
        <v>54.502235999999989</v>
      </c>
      <c r="K74" s="10">
        <v>77.458776000000043</v>
      </c>
      <c r="L74" s="11">
        <v>213.6</v>
      </c>
      <c r="M74" s="11">
        <v>152.19999999999999</v>
      </c>
      <c r="N74" s="11">
        <v>6.6793708333333432</v>
      </c>
      <c r="O74" s="11">
        <v>10.562099999999987</v>
      </c>
    </row>
    <row r="75" spans="1:15">
      <c r="A75" s="1" t="s">
        <v>35</v>
      </c>
      <c r="B75" s="1" t="s">
        <v>31</v>
      </c>
      <c r="C75" s="1" t="s">
        <v>6</v>
      </c>
      <c r="D75" s="10">
        <v>5.4608748750000125</v>
      </c>
      <c r="E75" s="10">
        <v>11.740818375</v>
      </c>
      <c r="F75" s="10">
        <v>0.84067499999999984</v>
      </c>
      <c r="G75" s="10">
        <v>13.677000000000001</v>
      </c>
      <c r="H75" s="10">
        <v>46.331231746032067</v>
      </c>
      <c r="I75" s="10">
        <v>3.7883750666666631</v>
      </c>
      <c r="J75" s="10">
        <v>61.95307920000019</v>
      </c>
      <c r="K75" s="10">
        <v>104.50359600000006</v>
      </c>
      <c r="L75" s="11">
        <v>194.39999999999998</v>
      </c>
      <c r="M75" s="11">
        <v>49.599999999999994</v>
      </c>
      <c r="N75" s="11">
        <v>5.9364708333333454</v>
      </c>
      <c r="O75" s="11">
        <v>16.214599999999997</v>
      </c>
    </row>
    <row r="76" spans="1:15">
      <c r="A76" s="1" t="s">
        <v>35</v>
      </c>
      <c r="B76" s="1" t="s">
        <v>31</v>
      </c>
      <c r="C76" s="1" t="s">
        <v>7</v>
      </c>
      <c r="D76" s="10">
        <v>5.5252698750000135</v>
      </c>
      <c r="E76" s="10">
        <v>12.698157374999999</v>
      </c>
      <c r="F76" s="10">
        <v>1.125675</v>
      </c>
      <c r="G76" s="10">
        <v>14.46</v>
      </c>
      <c r="H76" s="10">
        <v>75.115193650793984</v>
      </c>
      <c r="I76" s="10">
        <v>5.3918252666666637</v>
      </c>
      <c r="J76" s="10">
        <v>22.37777520000002</v>
      </c>
      <c r="K76" s="10">
        <v>70.464426000000032</v>
      </c>
      <c r="L76" s="11">
        <v>179.6</v>
      </c>
      <c r="M76" s="11">
        <v>158.10000000000002</v>
      </c>
      <c r="N76" s="11">
        <v>4.1599708333333432</v>
      </c>
      <c r="O76" s="11">
        <v>14.405799999999999</v>
      </c>
    </row>
    <row r="77" spans="1:15">
      <c r="A77" s="1" t="s">
        <v>35</v>
      </c>
      <c r="B77" s="1" t="s">
        <v>31</v>
      </c>
      <c r="C77" s="1" t="s">
        <v>9</v>
      </c>
      <c r="D77" s="10">
        <v>6.3581118750000138</v>
      </c>
      <c r="E77" s="10">
        <v>14.110554374999998</v>
      </c>
      <c r="F77" s="10">
        <v>0.99307499999999982</v>
      </c>
      <c r="G77" s="10">
        <v>19.413</v>
      </c>
      <c r="H77" s="10">
        <v>79.268584126984436</v>
      </c>
      <c r="I77" s="10">
        <v>3.9699168666666633</v>
      </c>
      <c r="J77" s="10">
        <v>43.849723200000192</v>
      </c>
      <c r="K77" s="10">
        <v>31.818876000000049</v>
      </c>
      <c r="L77" s="11">
        <v>177.8</v>
      </c>
      <c r="M77" s="11">
        <v>44.800000000000004</v>
      </c>
      <c r="N77" s="11">
        <v>5.5165708333333434</v>
      </c>
      <c r="O77" s="11">
        <v>12.790799999999999</v>
      </c>
    </row>
    <row r="78" spans="1:15">
      <c r="A78" s="1" t="s">
        <v>35</v>
      </c>
      <c r="B78" s="1" t="s">
        <v>31</v>
      </c>
      <c r="C78" s="1" t="s">
        <v>10</v>
      </c>
      <c r="D78" s="10">
        <v>6.2464938750000139</v>
      </c>
      <c r="E78" s="10">
        <v>16.484583375</v>
      </c>
      <c r="F78" s="10">
        <v>1.0716749999999999</v>
      </c>
      <c r="G78" s="10">
        <v>21.153000000000006</v>
      </c>
      <c r="H78" s="10">
        <v>37.734679365079678</v>
      </c>
      <c r="I78" s="10">
        <v>5.0145428666666634</v>
      </c>
      <c r="J78" s="10">
        <v>25.215079200000023</v>
      </c>
      <c r="K78" s="10">
        <v>65.250456000000057</v>
      </c>
      <c r="L78" s="11">
        <v>185.20000000000002</v>
      </c>
      <c r="M78" s="11">
        <v>67.399999999999991</v>
      </c>
      <c r="N78" s="11">
        <v>4.7090708333333424</v>
      </c>
      <c r="O78" s="11">
        <v>14.664199999999997</v>
      </c>
    </row>
    <row r="79" spans="1:15">
      <c r="A79" s="1" t="s">
        <v>35</v>
      </c>
      <c r="B79" s="1" t="s">
        <v>31</v>
      </c>
      <c r="C79" s="1" t="s">
        <v>11</v>
      </c>
      <c r="D79" s="10">
        <v>8.0581398750000126</v>
      </c>
      <c r="E79" s="10">
        <v>13.827216374999997</v>
      </c>
      <c r="F79" s="10">
        <v>1.0392749999999999</v>
      </c>
      <c r="G79" s="10">
        <v>17.090999999999998</v>
      </c>
      <c r="H79" s="10">
        <v>91.149212698413024</v>
      </c>
      <c r="I79" s="10">
        <v>5.850243666666664</v>
      </c>
      <c r="J79" s="10">
        <v>28.51019520000002</v>
      </c>
      <c r="K79" s="10">
        <v>48.633576000000041</v>
      </c>
      <c r="L79" s="11">
        <v>172.5</v>
      </c>
      <c r="M79" s="11">
        <v>46.5</v>
      </c>
      <c r="N79" s="11">
        <v>4.4183708333333467</v>
      </c>
      <c r="O79" s="11">
        <v>16.892899999999987</v>
      </c>
    </row>
    <row r="80" spans="1:15">
      <c r="A80" s="1" t="s">
        <v>35</v>
      </c>
      <c r="B80" s="1" t="s">
        <v>31</v>
      </c>
      <c r="C80" s="1" t="s">
        <v>13</v>
      </c>
      <c r="D80" s="10">
        <v>6.3881628750000141</v>
      </c>
      <c r="E80" s="10">
        <v>11.895366374999998</v>
      </c>
      <c r="F80" s="10">
        <v>1.3182749999999999</v>
      </c>
      <c r="G80" s="10">
        <v>13.797000000000001</v>
      </c>
      <c r="H80" s="10">
        <v>137.22286984127015</v>
      </c>
      <c r="I80" s="10">
        <v>7.9891914666666635</v>
      </c>
      <c r="J80" s="10">
        <v>44.256667200000194</v>
      </c>
      <c r="K80" s="10">
        <v>50.583516000000053</v>
      </c>
      <c r="L80" s="11">
        <v>191.29999999999998</v>
      </c>
      <c r="M80" s="11">
        <v>119.00000000000001</v>
      </c>
      <c r="N80" s="11">
        <v>5.1612708333333464</v>
      </c>
      <c r="O80" s="11">
        <v>20.962699999999995</v>
      </c>
    </row>
    <row r="81" spans="1:15">
      <c r="A81" s="1" t="s">
        <v>35</v>
      </c>
      <c r="B81" s="1" t="s">
        <v>31</v>
      </c>
      <c r="C81" s="1" t="s">
        <v>14</v>
      </c>
      <c r="D81" s="10">
        <v>6.735895875000014</v>
      </c>
      <c r="E81" s="10">
        <v>13.389330375</v>
      </c>
      <c r="F81" s="10">
        <v>0.93007499999999987</v>
      </c>
      <c r="G81" s="10">
        <v>12.489000000000001</v>
      </c>
      <c r="H81" s="10">
        <v>92.694660317460631</v>
      </c>
      <c r="I81" s="10">
        <v>8.7224580666666629</v>
      </c>
      <c r="J81" s="10">
        <v>54.170275200000191</v>
      </c>
      <c r="K81" s="10">
        <v>76.625106000000059</v>
      </c>
      <c r="L81" s="11">
        <v>183.79999999999995</v>
      </c>
      <c r="M81" s="11">
        <v>245.8</v>
      </c>
      <c r="N81" s="11">
        <v>5.9041708333333451</v>
      </c>
      <c r="O81" s="11">
        <v>17.280499999999996</v>
      </c>
    </row>
    <row r="82" spans="1:15">
      <c r="A82" s="1" t="s">
        <v>35</v>
      </c>
      <c r="B82" s="1" t="s">
        <v>31</v>
      </c>
      <c r="C82" s="1" t="s">
        <v>15</v>
      </c>
      <c r="D82" s="10">
        <v>6.0275508750000135</v>
      </c>
      <c r="E82" s="10">
        <v>14.655765375000001</v>
      </c>
      <c r="F82" s="10">
        <v>1.0662750000000001</v>
      </c>
      <c r="G82" s="10">
        <v>14.292</v>
      </c>
      <c r="H82" s="10">
        <v>63.331155555555853</v>
      </c>
      <c r="I82" s="10">
        <v>6.0865522666666632</v>
      </c>
      <c r="J82" s="10">
        <v>40.865467200000197</v>
      </c>
      <c r="K82" s="10">
        <v>86.982396000000037</v>
      </c>
      <c r="L82" s="11">
        <v>294.79999999999995</v>
      </c>
      <c r="M82" s="11">
        <v>247.3</v>
      </c>
      <c r="N82" s="11">
        <v>11.976570833333341</v>
      </c>
      <c r="O82" s="11">
        <v>17.894199999999994</v>
      </c>
    </row>
    <row r="83" spans="1:15">
      <c r="A83" s="1" t="s">
        <v>35</v>
      </c>
      <c r="B83" s="1" t="s">
        <v>31</v>
      </c>
      <c r="C83" s="1" t="s">
        <v>17</v>
      </c>
      <c r="D83" s="10">
        <v>5.4780468750000146</v>
      </c>
      <c r="E83" s="10">
        <v>12.676692374999998</v>
      </c>
      <c r="F83" s="10">
        <v>0.88087499999999985</v>
      </c>
      <c r="G83" s="10">
        <v>15.453000000000001</v>
      </c>
      <c r="H83" s="10">
        <v>41.791479365079674</v>
      </c>
      <c r="I83" s="10">
        <v>5.3755980666666634</v>
      </c>
      <c r="J83" s="10">
        <v>29.962759200000015</v>
      </c>
      <c r="K83" s="10">
        <v>71.072016000000062</v>
      </c>
      <c r="L83" s="11">
        <v>217.39999999999998</v>
      </c>
      <c r="M83" s="11">
        <v>48</v>
      </c>
      <c r="N83" s="11">
        <v>5.8395708333333429</v>
      </c>
      <c r="O83" s="11">
        <v>23.546699999999994</v>
      </c>
    </row>
    <row r="84" spans="1:15">
      <c r="A84" s="1" t="s">
        <v>35</v>
      </c>
      <c r="B84" s="1" t="s">
        <v>31</v>
      </c>
      <c r="C84" s="1" t="s">
        <v>18</v>
      </c>
      <c r="D84" s="10">
        <v>6.3752838750000151</v>
      </c>
      <c r="E84" s="10">
        <v>12.384768375</v>
      </c>
      <c r="F84" s="10">
        <v>1.0212750000000002</v>
      </c>
      <c r="G84" s="10">
        <v>15.486000000000001</v>
      </c>
      <c r="H84" s="10">
        <v>53.189155555555878</v>
      </c>
      <c r="I84" s="10">
        <v>6.0226576666666638</v>
      </c>
      <c r="J84" s="10">
        <v>53.836807200000187</v>
      </c>
      <c r="K84" s="10">
        <v>67.454736000000054</v>
      </c>
      <c r="L84" s="11">
        <v>196.60000000000002</v>
      </c>
      <c r="M84" s="11">
        <v>86.4</v>
      </c>
      <c r="N84" s="11">
        <v>5.8718708333333423</v>
      </c>
      <c r="O84" s="11">
        <v>17.894199999999994</v>
      </c>
    </row>
    <row r="85" spans="1:15">
      <c r="A85" s="1" t="s">
        <v>35</v>
      </c>
      <c r="B85" s="1" t="s">
        <v>31</v>
      </c>
      <c r="C85" s="1" t="s">
        <v>19</v>
      </c>
      <c r="D85" s="10">
        <v>6.1305828750000133</v>
      </c>
      <c r="E85" s="10">
        <v>11.925417375</v>
      </c>
      <c r="F85" s="10">
        <v>0.89527500000000004</v>
      </c>
      <c r="G85" s="10">
        <v>12.552000000000001</v>
      </c>
      <c r="H85" s="10">
        <v>51.160755555555859</v>
      </c>
      <c r="I85" s="10">
        <v>4.6646438666666628</v>
      </c>
      <c r="J85" s="10">
        <v>39.107695200000187</v>
      </c>
      <c r="K85" s="10">
        <v>62.085336000000055</v>
      </c>
      <c r="L85" s="11">
        <v>205.59999999999997</v>
      </c>
      <c r="M85" s="11">
        <v>61.6</v>
      </c>
      <c r="N85" s="11">
        <v>6.6470708333333457</v>
      </c>
      <c r="O85" s="11">
        <v>14.211999999999984</v>
      </c>
    </row>
    <row r="86" spans="1:15">
      <c r="A86" s="1" t="s">
        <v>35</v>
      </c>
      <c r="B86" s="1" t="s">
        <v>31</v>
      </c>
      <c r="C86" s="1" t="s">
        <v>21</v>
      </c>
      <c r="D86" s="10">
        <v>6.5856408750000135</v>
      </c>
      <c r="E86" s="10">
        <v>13.393623374999999</v>
      </c>
      <c r="F86" s="10">
        <v>1.0176749999999999</v>
      </c>
      <c r="G86" s="10">
        <v>16.452000000000002</v>
      </c>
      <c r="H86" s="10">
        <v>71.251574603174916</v>
      </c>
      <c r="I86" s="10">
        <v>5.4577482666666626</v>
      </c>
      <c r="J86" s="10">
        <v>63.716503200000176</v>
      </c>
      <c r="K86" s="10">
        <v>57.168096000000048</v>
      </c>
      <c r="L86" s="11">
        <v>191.39999999999998</v>
      </c>
      <c r="M86" s="11">
        <v>69.199999999999989</v>
      </c>
      <c r="N86" s="11">
        <v>8.0359708333333426</v>
      </c>
      <c r="O86" s="11">
        <v>16.666799999999995</v>
      </c>
    </row>
    <row r="87" spans="1:15">
      <c r="A87" s="1" t="s">
        <v>35</v>
      </c>
      <c r="B87" s="1" t="s">
        <v>31</v>
      </c>
      <c r="C87" s="1" t="s">
        <v>22</v>
      </c>
      <c r="D87" s="10">
        <v>6.4997808750000132</v>
      </c>
      <c r="E87" s="10">
        <v>11.959761374999999</v>
      </c>
      <c r="F87" s="10">
        <v>0.96547499999999997</v>
      </c>
      <c r="G87" s="10">
        <v>14.241</v>
      </c>
      <c r="H87" s="10">
        <v>54.734603174603478</v>
      </c>
      <c r="I87" s="10">
        <v>5.5753954666666639</v>
      </c>
      <c r="J87" s="10">
        <v>27.973255200000018</v>
      </c>
      <c r="K87" s="10">
        <v>31.126506000000049</v>
      </c>
      <c r="L87" s="11">
        <v>243.10000000000002</v>
      </c>
      <c r="M87" s="11">
        <v>104.8</v>
      </c>
      <c r="N87" s="11">
        <v>7.3899708333333436</v>
      </c>
      <c r="O87" s="11">
        <v>18.540199999999999</v>
      </c>
    </row>
    <row r="88" spans="1:15">
      <c r="A88" s="1" t="s">
        <v>35</v>
      </c>
      <c r="B88" s="1" t="s">
        <v>31</v>
      </c>
      <c r="C88" s="1" t="s">
        <v>23</v>
      </c>
      <c r="D88" s="10">
        <v>5.7485058750000135</v>
      </c>
      <c r="E88" s="10">
        <v>16.098213375</v>
      </c>
      <c r="F88" s="10">
        <v>1.010475</v>
      </c>
      <c r="G88" s="10">
        <v>21.797999999999998</v>
      </c>
      <c r="H88" s="10">
        <v>68.836812698413013</v>
      </c>
      <c r="I88" s="10">
        <v>6.4202240666666643</v>
      </c>
      <c r="J88" s="10">
        <v>27.119803200000021</v>
      </c>
      <c r="K88" s="10">
        <v>63.498336000000045</v>
      </c>
      <c r="L88" s="11">
        <v>236</v>
      </c>
      <c r="M88" s="11">
        <v>45.199999999999989</v>
      </c>
      <c r="N88" s="11">
        <v>8.1974708333333446</v>
      </c>
      <c r="O88" s="11">
        <v>18.992399999999996</v>
      </c>
    </row>
    <row r="89" spans="1:15">
      <c r="A89" s="1" t="s">
        <v>35</v>
      </c>
      <c r="B89" s="1" t="s">
        <v>31</v>
      </c>
      <c r="C89" s="1" t="s">
        <v>25</v>
      </c>
      <c r="D89" s="10">
        <v>6.735895875000014</v>
      </c>
      <c r="E89" s="10">
        <v>10.744842375000001</v>
      </c>
      <c r="F89" s="10">
        <v>1.6572750000000001</v>
      </c>
      <c r="G89" s="10">
        <v>10.260000000000002</v>
      </c>
      <c r="H89" s="10">
        <v>146.78532698412727</v>
      </c>
      <c r="I89" s="10">
        <v>8.3989282666666636</v>
      </c>
      <c r="J89" s="10">
        <v>58.176035999999996</v>
      </c>
      <c r="K89" s="10">
        <v>66.423246000000049</v>
      </c>
      <c r="L89" s="11">
        <v>221.39999999999998</v>
      </c>
      <c r="M89" s="11">
        <v>248.6</v>
      </c>
      <c r="N89" s="11">
        <v>5.3873708333333452</v>
      </c>
      <c r="O89" s="11">
        <v>12.403199999999989</v>
      </c>
    </row>
    <row r="90" spans="1:15">
      <c r="A90" s="1" t="s">
        <v>35</v>
      </c>
      <c r="B90" s="1" t="s">
        <v>31</v>
      </c>
      <c r="C90" s="1" t="s">
        <v>26</v>
      </c>
      <c r="D90" s="10">
        <v>6.1219968750000131</v>
      </c>
      <c r="E90" s="10">
        <v>12.084258375000001</v>
      </c>
      <c r="F90" s="10">
        <v>1.1562749999999997</v>
      </c>
      <c r="G90" s="10">
        <v>13.026000000000002</v>
      </c>
      <c r="H90" s="10">
        <v>76.564050793651091</v>
      </c>
      <c r="I90" s="10">
        <v>6.8715430666666641</v>
      </c>
      <c r="J90" s="10">
        <v>28.323679200000022</v>
      </c>
      <c r="K90" s="10">
        <v>59.96583600000006</v>
      </c>
      <c r="L90" s="11">
        <v>256.2</v>
      </c>
      <c r="M90" s="11">
        <v>36.399999999999991</v>
      </c>
      <c r="N90" s="11">
        <v>6.9377708333333441</v>
      </c>
      <c r="O90" s="11">
        <v>12.661599999999984</v>
      </c>
    </row>
    <row r="91" spans="1:15">
      <c r="A91" s="1" t="s">
        <v>35</v>
      </c>
      <c r="B91" s="1" t="s">
        <v>31</v>
      </c>
      <c r="C91" s="1" t="s">
        <v>27</v>
      </c>
      <c r="D91" s="10">
        <v>5.4050658750000133</v>
      </c>
      <c r="E91" s="10">
        <v>10.470090375</v>
      </c>
      <c r="F91" s="10">
        <v>1.1772749999999998</v>
      </c>
      <c r="G91" s="10">
        <v>10.767000000000001</v>
      </c>
      <c r="H91" s="10">
        <v>75.308374603174926</v>
      </c>
      <c r="I91" s="10">
        <v>5.8644424666666639</v>
      </c>
      <c r="J91" s="10">
        <v>48.964783200000191</v>
      </c>
      <c r="K91" s="10">
        <v>76.38489600000004</v>
      </c>
      <c r="L91" s="11">
        <v>216.99999999999997</v>
      </c>
      <c r="M91" s="11">
        <v>86.2</v>
      </c>
      <c r="N91" s="11">
        <v>4.805970833333344</v>
      </c>
      <c r="O91" s="11">
        <v>11.111199999999998</v>
      </c>
    </row>
    <row r="92" spans="1:15">
      <c r="A92" s="1" t="s">
        <v>35</v>
      </c>
      <c r="B92" s="1" t="s">
        <v>32</v>
      </c>
      <c r="C92" s="2" t="s">
        <v>4</v>
      </c>
      <c r="D92" s="10">
        <v>5.9331048750000139</v>
      </c>
      <c r="E92" s="10">
        <v>12.324666375000001</v>
      </c>
      <c r="F92" s="10">
        <v>1.0116750000000001</v>
      </c>
      <c r="G92" s="10">
        <v>13.734000000000002</v>
      </c>
      <c r="H92" s="10">
        <v>69.480749206348875</v>
      </c>
      <c r="I92" s="10">
        <v>2.6311728666666632</v>
      </c>
      <c r="J92" s="10">
        <v>39.588115200000196</v>
      </c>
      <c r="K92" s="10">
        <v>51.005061000000005</v>
      </c>
      <c r="L92" s="11">
        <v>198.60000000000002</v>
      </c>
      <c r="M92" s="11">
        <v>103.75999999999999</v>
      </c>
      <c r="N92" s="11">
        <v>5.7103708333333421</v>
      </c>
      <c r="O92" s="11">
        <v>16.374754166666683</v>
      </c>
    </row>
    <row r="93" spans="1:15">
      <c r="A93" s="1" t="s">
        <v>35</v>
      </c>
      <c r="B93" s="1" t="s">
        <v>32</v>
      </c>
      <c r="C93" s="2" t="s">
        <v>6</v>
      </c>
      <c r="D93" s="10">
        <v>5.9502768750000126</v>
      </c>
      <c r="E93" s="10">
        <v>11.006715375000001</v>
      </c>
      <c r="F93" s="10">
        <v>0.99967500000000009</v>
      </c>
      <c r="G93" s="10">
        <v>12.375</v>
      </c>
      <c r="H93" s="10">
        <v>47.361530158729835</v>
      </c>
      <c r="I93" s="10">
        <v>1.480055866666663</v>
      </c>
      <c r="J93" s="10">
        <v>37.022107200000185</v>
      </c>
      <c r="K93" s="10">
        <v>92.335311000000004</v>
      </c>
      <c r="L93" s="11">
        <v>260.39999999999998</v>
      </c>
      <c r="M93" s="11">
        <v>113.81999999999998</v>
      </c>
      <c r="N93" s="11">
        <v>6.2271708333333446</v>
      </c>
      <c r="O93" s="11">
        <v>16.730054166666687</v>
      </c>
    </row>
    <row r="94" spans="1:15">
      <c r="A94" s="1" t="s">
        <v>35</v>
      </c>
      <c r="B94" s="1" t="s">
        <v>32</v>
      </c>
      <c r="C94" s="2" t="s">
        <v>7</v>
      </c>
      <c r="D94" s="10">
        <v>6.3538188750000142</v>
      </c>
      <c r="E94" s="10">
        <v>11.135505374999999</v>
      </c>
      <c r="F94" s="10">
        <v>1.147875</v>
      </c>
      <c r="G94" s="10">
        <v>13.023000000000001</v>
      </c>
      <c r="H94" s="10">
        <v>68.12848253968221</v>
      </c>
      <c r="I94" s="10">
        <v>1.1240716666666632</v>
      </c>
      <c r="J94" s="10">
        <v>46.670071200000194</v>
      </c>
      <c r="K94" s="10">
        <v>135.64376099999998</v>
      </c>
      <c r="L94" s="11">
        <v>440.59999999999991</v>
      </c>
      <c r="M94" s="11">
        <v>91.560000000000016</v>
      </c>
      <c r="N94" s="11">
        <v>6.3240708333333435</v>
      </c>
      <c r="O94" s="11">
        <v>19.701654166666685</v>
      </c>
    </row>
    <row r="95" spans="1:15">
      <c r="A95" s="1" t="s">
        <v>35</v>
      </c>
      <c r="B95" s="1" t="s">
        <v>32</v>
      </c>
      <c r="C95" s="2" t="s">
        <v>8</v>
      </c>
      <c r="D95" s="10">
        <v>4.6666698750000144</v>
      </c>
      <c r="E95" s="10">
        <v>9.989274374999999</v>
      </c>
      <c r="F95" s="10">
        <v>0.85147500000000009</v>
      </c>
      <c r="G95" s="10">
        <v>10.776000000000002</v>
      </c>
      <c r="H95" s="10">
        <v>121.54301587301549</v>
      </c>
      <c r="I95" s="10">
        <v>3.8908092666666629</v>
      </c>
      <c r="J95" s="10">
        <v>51.949039200000193</v>
      </c>
      <c r="K95" s="10">
        <v>83.433411000000007</v>
      </c>
      <c r="L95" s="11">
        <v>244</v>
      </c>
      <c r="M95" s="11">
        <v>102.15999999999998</v>
      </c>
      <c r="N95" s="11">
        <v>7.8098708333333464</v>
      </c>
      <c r="O95" s="11">
        <v>14.727454166666684</v>
      </c>
    </row>
    <row r="96" spans="1:15">
      <c r="A96" s="1" t="s">
        <v>35</v>
      </c>
      <c r="B96" s="1" t="s">
        <v>32</v>
      </c>
      <c r="C96" s="2" t="s">
        <v>10</v>
      </c>
      <c r="D96" s="10">
        <v>6.3065958750000135</v>
      </c>
      <c r="E96" s="10">
        <v>11.934003375000001</v>
      </c>
      <c r="F96" s="10">
        <v>0.8118749999999999</v>
      </c>
      <c r="G96" s="10">
        <v>12.845999999999998</v>
      </c>
      <c r="H96" s="10">
        <v>33.742273015872691</v>
      </c>
      <c r="I96" s="10">
        <v>3.845170266666663</v>
      </c>
      <c r="J96" s="10">
        <v>43.968415200000187</v>
      </c>
      <c r="K96" s="10">
        <v>85.397480999999999</v>
      </c>
      <c r="L96" s="11">
        <v>260.90000000000003</v>
      </c>
      <c r="M96" s="11">
        <v>136.79999999999998</v>
      </c>
      <c r="N96" s="11">
        <v>6.6470708333333466</v>
      </c>
      <c r="O96" s="11">
        <v>15.018154166666688</v>
      </c>
    </row>
    <row r="97" spans="1:15">
      <c r="A97" s="1" t="s">
        <v>35</v>
      </c>
      <c r="B97" s="1" t="s">
        <v>32</v>
      </c>
      <c r="C97" s="2" t="s">
        <v>11</v>
      </c>
      <c r="D97" s="10">
        <v>5.1560718750000136</v>
      </c>
      <c r="E97" s="10">
        <v>9.5599743749999995</v>
      </c>
      <c r="F97" s="10">
        <v>0.87127499999999991</v>
      </c>
      <c r="G97" s="10">
        <v>12.383999999999999</v>
      </c>
      <c r="H97" s="10">
        <v>47.071758730158415</v>
      </c>
      <c r="I97" s="10">
        <v>1.9800564666666631</v>
      </c>
      <c r="J97" s="10">
        <v>37.779475200000192</v>
      </c>
      <c r="K97" s="10">
        <v>92.660301000000004</v>
      </c>
      <c r="L97" s="11">
        <v>262.49999999999994</v>
      </c>
      <c r="M97" s="11">
        <v>105.71999999999998</v>
      </c>
      <c r="N97" s="11">
        <v>7.0992708333333425</v>
      </c>
      <c r="O97" s="11">
        <v>14.792054166666686</v>
      </c>
    </row>
    <row r="98" spans="1:15">
      <c r="A98" s="1" t="s">
        <v>35</v>
      </c>
      <c r="B98" s="1" t="s">
        <v>32</v>
      </c>
      <c r="C98" s="2" t="s">
        <v>12</v>
      </c>
      <c r="D98" s="10">
        <v>5.9073468750000124</v>
      </c>
      <c r="E98" s="10">
        <v>11.332983375</v>
      </c>
      <c r="F98" s="10">
        <v>0.97207499999999991</v>
      </c>
      <c r="G98" s="10">
        <v>15.240000000000002</v>
      </c>
      <c r="H98" s="10">
        <v>69.673930158729817</v>
      </c>
      <c r="I98" s="10">
        <v>4.2254952666666634</v>
      </c>
      <c r="J98" s="10">
        <v>23.474263200000017</v>
      </c>
      <c r="K98" s="10">
        <v>62.450361000000001</v>
      </c>
      <c r="L98" s="11">
        <v>256.3</v>
      </c>
      <c r="M98" s="11">
        <v>123.52000000000001</v>
      </c>
      <c r="N98" s="11">
        <v>7.5191708333333462</v>
      </c>
      <c r="O98" s="11">
        <v>20.541454166666686</v>
      </c>
    </row>
    <row r="99" spans="1:15">
      <c r="A99" s="1" t="s">
        <v>35</v>
      </c>
      <c r="B99" s="1" t="s">
        <v>32</v>
      </c>
      <c r="C99" s="2" t="s">
        <v>14</v>
      </c>
      <c r="D99" s="10">
        <v>5.4136518750000135</v>
      </c>
      <c r="E99" s="10">
        <v>13.698426375</v>
      </c>
      <c r="F99" s="10">
        <v>0.82867500000000005</v>
      </c>
      <c r="G99" s="10">
        <v>16.560000000000002</v>
      </c>
      <c r="H99" s="10">
        <v>104.6396825396822</v>
      </c>
      <c r="I99" s="10">
        <v>5.1443604666666642</v>
      </c>
      <c r="J99" s="10">
        <v>54.334183200000197</v>
      </c>
      <c r="K99" s="10">
        <v>82.642131000000006</v>
      </c>
      <c r="L99" s="11">
        <v>166.4</v>
      </c>
      <c r="M99" s="11">
        <v>103.25999999999999</v>
      </c>
      <c r="N99" s="11">
        <v>6.7762708333333439</v>
      </c>
      <c r="O99" s="11">
        <v>15.599554166666687</v>
      </c>
    </row>
    <row r="100" spans="1:15">
      <c r="A100" s="1" t="s">
        <v>35</v>
      </c>
      <c r="B100" s="1" t="s">
        <v>32</v>
      </c>
      <c r="C100" s="2" t="s">
        <v>15</v>
      </c>
      <c r="D100" s="10">
        <v>5.8472448750000137</v>
      </c>
      <c r="E100" s="10">
        <v>13.852974374999999</v>
      </c>
      <c r="F100" s="10">
        <v>1.1844749999999999</v>
      </c>
      <c r="G100" s="10">
        <v>17.313000000000002</v>
      </c>
      <c r="H100" s="10">
        <v>102.90105396825363</v>
      </c>
      <c r="I100" s="10">
        <v>3.9719452666666633</v>
      </c>
      <c r="J100" s="10">
        <v>66.966403200000173</v>
      </c>
      <c r="K100" s="10">
        <v>84.789891000000011</v>
      </c>
      <c r="L100" s="11">
        <v>238.6</v>
      </c>
      <c r="M100" s="11">
        <v>102.26000000000002</v>
      </c>
      <c r="N100" s="11">
        <v>9.0695708333333425</v>
      </c>
      <c r="O100" s="11">
        <v>12.531054166666676</v>
      </c>
    </row>
    <row r="101" spans="1:15">
      <c r="A101" s="1" t="s">
        <v>35</v>
      </c>
      <c r="B101" s="1" t="s">
        <v>32</v>
      </c>
      <c r="C101" s="2" t="s">
        <v>16</v>
      </c>
      <c r="D101" s="10">
        <v>5.4050658750000133</v>
      </c>
      <c r="E101" s="10">
        <v>10.465797374999999</v>
      </c>
      <c r="F101" s="10">
        <v>0.80407499999999987</v>
      </c>
      <c r="G101" s="10">
        <v>11.43</v>
      </c>
      <c r="H101" s="10">
        <v>49.293339682539361</v>
      </c>
      <c r="I101" s="10">
        <v>2.3208276666666632</v>
      </c>
      <c r="J101" s="10">
        <v>27.854563200000019</v>
      </c>
      <c r="K101" s="10">
        <v>94.779800999999992</v>
      </c>
      <c r="L101" s="11">
        <v>259.39999999999998</v>
      </c>
      <c r="M101" s="11">
        <v>100.6</v>
      </c>
      <c r="N101" s="11">
        <v>7.6483708333333427</v>
      </c>
      <c r="O101" s="11">
        <v>20.735254166666682</v>
      </c>
    </row>
    <row r="102" spans="1:15">
      <c r="A102" s="1" t="s">
        <v>35</v>
      </c>
      <c r="B102" s="1" t="s">
        <v>32</v>
      </c>
      <c r="C102" s="2" t="s">
        <v>18</v>
      </c>
      <c r="D102" s="10">
        <v>4.9371288750000142</v>
      </c>
      <c r="E102" s="10">
        <v>16.038111375</v>
      </c>
      <c r="F102" s="10">
        <v>0.94447499999999984</v>
      </c>
      <c r="G102" s="10">
        <v>20.034000000000006</v>
      </c>
      <c r="H102" s="10">
        <v>80.20229206349174</v>
      </c>
      <c r="I102" s="10">
        <v>3.5693078666666631</v>
      </c>
      <c r="J102" s="10">
        <v>60.133135200000197</v>
      </c>
      <c r="K102" s="10">
        <v>83.984481000000002</v>
      </c>
      <c r="L102" s="11">
        <v>580.29999999999995</v>
      </c>
      <c r="M102" s="11">
        <v>91.66</v>
      </c>
      <c r="N102" s="11">
        <v>5.7103708333333429</v>
      </c>
      <c r="O102" s="11">
        <v>14.759754166666676</v>
      </c>
    </row>
    <row r="103" spans="1:15">
      <c r="A103" s="1" t="s">
        <v>35</v>
      </c>
      <c r="B103" s="1" t="s">
        <v>32</v>
      </c>
      <c r="C103" s="2" t="s">
        <v>19</v>
      </c>
      <c r="D103" s="10">
        <v>6.0919458750000137</v>
      </c>
      <c r="E103" s="10">
        <v>15.574467375000001</v>
      </c>
      <c r="F103" s="10">
        <v>0.75907500000000006</v>
      </c>
      <c r="G103" s="10">
        <v>17.334</v>
      </c>
      <c r="H103" s="10">
        <v>51.804692063491736</v>
      </c>
      <c r="I103" s="10">
        <v>3.4577458666666629</v>
      </c>
      <c r="J103" s="10">
        <v>23.28774720000002</v>
      </c>
      <c r="K103" s="10">
        <v>86.527880999999994</v>
      </c>
      <c r="L103" s="11">
        <v>216.6</v>
      </c>
      <c r="M103" s="11">
        <v>109.39999999999998</v>
      </c>
      <c r="N103" s="11">
        <v>9.3925708333333429</v>
      </c>
      <c r="O103" s="11">
        <v>16.762354166666682</v>
      </c>
    </row>
    <row r="104" spans="1:15">
      <c r="A104" s="1" t="s">
        <v>35</v>
      </c>
      <c r="B104" s="1" t="s">
        <v>32</v>
      </c>
      <c r="C104" s="2" t="s">
        <v>20</v>
      </c>
      <c r="D104" s="10">
        <v>7.6331328750000136</v>
      </c>
      <c r="E104" s="10">
        <v>11.556219374999998</v>
      </c>
      <c r="F104" s="10">
        <v>0.85807500000000003</v>
      </c>
      <c r="G104" s="10">
        <v>13.749000000000001</v>
      </c>
      <c r="H104" s="10">
        <v>65.906901587301249</v>
      </c>
      <c r="I104" s="10">
        <v>4.973974866666663</v>
      </c>
      <c r="J104" s="10">
        <v>20.60304720000002</v>
      </c>
      <c r="K104" s="10">
        <v>76.029291000000001</v>
      </c>
      <c r="L104" s="11">
        <v>292.2</v>
      </c>
      <c r="M104" s="11">
        <v>132.66</v>
      </c>
      <c r="N104" s="11">
        <v>6.8731708333333428</v>
      </c>
      <c r="O104" s="11">
        <v>9.4948541666666735</v>
      </c>
    </row>
    <row r="105" spans="1:15">
      <c r="A105" s="1" t="s">
        <v>35</v>
      </c>
      <c r="B105" s="1" t="s">
        <v>32</v>
      </c>
      <c r="C105" s="2" t="s">
        <v>22</v>
      </c>
      <c r="D105" s="10">
        <v>6.6543288750000151</v>
      </c>
      <c r="E105" s="10">
        <v>12.131481375</v>
      </c>
      <c r="F105" s="10">
        <v>1.0998749999999999</v>
      </c>
      <c r="G105" s="10">
        <v>17.579999999999998</v>
      </c>
      <c r="H105" s="10">
        <v>99.520387301586979</v>
      </c>
      <c r="I105" s="10">
        <v>2.363424066666663</v>
      </c>
      <c r="J105" s="10">
        <v>54.045931200000197</v>
      </c>
      <c r="K105" s="10">
        <v>64.273130999999992</v>
      </c>
      <c r="L105" s="11">
        <v>260.10000000000002</v>
      </c>
      <c r="M105" s="11">
        <v>84.04</v>
      </c>
      <c r="N105" s="11">
        <v>7.9390708333333446</v>
      </c>
      <c r="O105" s="11">
        <v>16.019454166666687</v>
      </c>
    </row>
    <row r="106" spans="1:15">
      <c r="A106" s="1" t="s">
        <v>35</v>
      </c>
      <c r="B106" s="1" t="s">
        <v>32</v>
      </c>
      <c r="C106" s="2" t="s">
        <v>23</v>
      </c>
      <c r="D106" s="10">
        <v>6.0833598750000144</v>
      </c>
      <c r="E106" s="10">
        <v>13.402209375000002</v>
      </c>
      <c r="F106" s="10">
        <v>0.92707499999999998</v>
      </c>
      <c r="G106" s="10">
        <v>17.207999999999998</v>
      </c>
      <c r="H106" s="10">
        <v>43.594501587301252</v>
      </c>
      <c r="I106" s="10">
        <v>7.5601848666666633</v>
      </c>
      <c r="J106" s="10">
        <v>33.342655200000195</v>
      </c>
      <c r="K106" s="10">
        <v>73.358721000000003</v>
      </c>
      <c r="L106" s="11">
        <v>295.90000000000003</v>
      </c>
      <c r="M106" s="11">
        <v>121.82000000000001</v>
      </c>
      <c r="N106" s="11">
        <v>8.7465708333333438</v>
      </c>
      <c r="O106" s="11">
        <v>16.471654166666688</v>
      </c>
    </row>
    <row r="107" spans="1:15">
      <c r="A107" s="1" t="s">
        <v>35</v>
      </c>
      <c r="B107" s="1" t="s">
        <v>32</v>
      </c>
      <c r="C107" s="2" t="s">
        <v>24</v>
      </c>
      <c r="D107" s="10">
        <v>5.8687098750000137</v>
      </c>
      <c r="E107" s="10">
        <v>13.556757375</v>
      </c>
      <c r="F107" s="10">
        <v>0.78187499999999999</v>
      </c>
      <c r="G107" s="10">
        <v>13.664999999999999</v>
      </c>
      <c r="H107" s="10">
        <v>38.668387301586968</v>
      </c>
      <c r="I107" s="10">
        <v>2.6119030666666632</v>
      </c>
      <c r="J107" s="10">
        <v>39.237691200000192</v>
      </c>
      <c r="K107" s="10">
        <v>85.849641000000005</v>
      </c>
      <c r="L107" s="11">
        <v>315.20000000000005</v>
      </c>
      <c r="M107" s="11">
        <v>155.07999999999998</v>
      </c>
      <c r="N107" s="11">
        <v>7.9713708333333466</v>
      </c>
      <c r="O107" s="11">
        <v>13.855354166666674</v>
      </c>
    </row>
    <row r="108" spans="1:15">
      <c r="A108" s="1" t="s">
        <v>35</v>
      </c>
      <c r="B108" s="1" t="s">
        <v>32</v>
      </c>
      <c r="C108" s="2" t="s">
        <v>26</v>
      </c>
      <c r="D108" s="10">
        <v>6.1649268750000132</v>
      </c>
      <c r="E108" s="10">
        <v>9.7145223749999996</v>
      </c>
      <c r="F108" s="10">
        <v>0.91927499999999984</v>
      </c>
      <c r="G108" s="10">
        <v>11.151000000000002</v>
      </c>
      <c r="H108" s="10">
        <v>57.310349206348889</v>
      </c>
      <c r="I108" s="10">
        <v>3.0277250666666631</v>
      </c>
      <c r="J108" s="10">
        <v>31.070551200000022</v>
      </c>
      <c r="K108" s="10">
        <v>96.927560999999997</v>
      </c>
      <c r="L108" s="11">
        <v>219.1</v>
      </c>
      <c r="M108" s="11">
        <v>120.28000000000002</v>
      </c>
      <c r="N108" s="11">
        <v>6.6147708333333455</v>
      </c>
      <c r="O108" s="11">
        <v>14.824354166666685</v>
      </c>
    </row>
    <row r="109" spans="1:15">
      <c r="A109" s="1" t="s">
        <v>35</v>
      </c>
      <c r="B109" s="1" t="s">
        <v>32</v>
      </c>
      <c r="C109" s="2" t="s">
        <v>27</v>
      </c>
      <c r="D109" s="10">
        <v>5.5338558750000137</v>
      </c>
      <c r="E109" s="10">
        <v>11.861022374999997</v>
      </c>
      <c r="F109" s="10">
        <v>0.99487499999999995</v>
      </c>
      <c r="G109" s="10">
        <v>13.863</v>
      </c>
      <c r="H109" s="10">
        <v>63.298958730158397</v>
      </c>
      <c r="I109" s="10">
        <v>3.4192062666666634</v>
      </c>
      <c r="J109" s="10">
        <v>21.269983200000024</v>
      </c>
      <c r="K109" s="10">
        <v>90.752751000000004</v>
      </c>
      <c r="L109" s="11">
        <v>249</v>
      </c>
      <c r="M109" s="11">
        <v>99.28</v>
      </c>
      <c r="N109" s="11">
        <v>6.9700708333333425</v>
      </c>
      <c r="O109" s="11">
        <v>14.307554166666687</v>
      </c>
    </row>
    <row r="110" spans="1:15">
      <c r="A110" s="1" t="s">
        <v>35</v>
      </c>
      <c r="B110" s="1" t="s">
        <v>33</v>
      </c>
      <c r="C110" s="2" t="s">
        <v>4</v>
      </c>
      <c r="D110" s="10">
        <v>6.1624226249999854</v>
      </c>
      <c r="E110" s="10">
        <v>14.960568375000003</v>
      </c>
      <c r="F110" s="10">
        <v>1.2214750000000019</v>
      </c>
      <c r="G110" s="10">
        <v>13.88086363636365</v>
      </c>
      <c r="H110" s="10">
        <v>106.82906666666663</v>
      </c>
      <c r="I110" s="10">
        <v>3.3767789000000001</v>
      </c>
      <c r="J110" s="10">
        <v>40.14483720000019</v>
      </c>
      <c r="K110" s="10">
        <v>113.784651</v>
      </c>
      <c r="L110" s="11">
        <v>408.29999999999995</v>
      </c>
      <c r="M110" s="11">
        <v>33.4</v>
      </c>
      <c r="N110" s="11">
        <v>5.6403874999999886</v>
      </c>
      <c r="O110" s="11">
        <v>17.328949999999985</v>
      </c>
    </row>
    <row r="111" spans="1:15">
      <c r="A111" s="1" t="s">
        <v>35</v>
      </c>
      <c r="B111" s="1" t="s">
        <v>33</v>
      </c>
      <c r="C111" s="2" t="s">
        <v>6</v>
      </c>
      <c r="D111" s="10">
        <v>6.9351626249999843</v>
      </c>
      <c r="E111" s="10">
        <v>13.157508374999999</v>
      </c>
      <c r="F111" s="10">
        <v>1.274875000000002</v>
      </c>
      <c r="G111" s="10">
        <v>13.61386363636365</v>
      </c>
      <c r="H111" s="10">
        <v>68.386057142857126</v>
      </c>
      <c r="I111" s="10">
        <v>3.2368193000000001</v>
      </c>
      <c r="J111" s="10">
        <v>38.686621200000189</v>
      </c>
      <c r="K111" s="10">
        <v>84.676850999999999</v>
      </c>
      <c r="L111" s="11">
        <v>242.7</v>
      </c>
      <c r="M111" s="11">
        <v>44.800000000000004</v>
      </c>
      <c r="N111" s="11">
        <v>5.4788874999999901</v>
      </c>
      <c r="O111" s="11">
        <v>18.394849999999995</v>
      </c>
    </row>
    <row r="112" spans="1:15">
      <c r="A112" s="1" t="s">
        <v>35</v>
      </c>
      <c r="B112" s="1" t="s">
        <v>33</v>
      </c>
      <c r="C112" s="2" t="s">
        <v>7</v>
      </c>
      <c r="D112" s="10">
        <v>5.8619126249999844</v>
      </c>
      <c r="E112" s="10">
        <v>12.303201375</v>
      </c>
      <c r="F112" s="10">
        <v>1.093075000000002</v>
      </c>
      <c r="G112" s="10">
        <v>12.21286363636365</v>
      </c>
      <c r="H112" s="10">
        <v>48.585009523809525</v>
      </c>
      <c r="I112" s="10">
        <v>3.1394560999999999</v>
      </c>
      <c r="J112" s="10">
        <v>40.653517200000181</v>
      </c>
      <c r="K112" s="10">
        <v>76.11407100000001</v>
      </c>
      <c r="L112" s="11">
        <v>484.29999999999995</v>
      </c>
      <c r="M112" s="11">
        <v>50.20000000000001</v>
      </c>
      <c r="N112" s="11">
        <v>5.6080874999999901</v>
      </c>
      <c r="O112" s="11">
        <v>19.040849999999995</v>
      </c>
    </row>
    <row r="113" spans="1:15">
      <c r="A113" s="1" t="s">
        <v>35</v>
      </c>
      <c r="B113" s="1" t="s">
        <v>33</v>
      </c>
      <c r="C113" s="2" t="s">
        <v>8</v>
      </c>
      <c r="D113" s="10">
        <v>5.642969624999985</v>
      </c>
      <c r="E113" s="10">
        <v>14.655765375000001</v>
      </c>
      <c r="F113" s="10">
        <v>1.2832750000000019</v>
      </c>
      <c r="G113" s="10">
        <v>19.313863636363621</v>
      </c>
      <c r="H113" s="10">
        <v>130.20396190476188</v>
      </c>
      <c r="I113" s="10">
        <v>5.6627856999999997</v>
      </c>
      <c r="J113" s="10">
        <v>58.615573200000192</v>
      </c>
      <c r="K113" s="10">
        <v>41.184711000000007</v>
      </c>
      <c r="L113" s="11">
        <v>227.6</v>
      </c>
      <c r="M113" s="11">
        <v>16.5</v>
      </c>
      <c r="N113" s="11">
        <v>5.05898749999999</v>
      </c>
      <c r="O113" s="11">
        <v>13.646749999999987</v>
      </c>
    </row>
    <row r="114" spans="1:15">
      <c r="A114" s="1" t="s">
        <v>35</v>
      </c>
      <c r="B114" s="1" t="s">
        <v>33</v>
      </c>
      <c r="C114" s="2" t="s">
        <v>10</v>
      </c>
      <c r="D114" s="10">
        <v>7.2099146249999855</v>
      </c>
      <c r="E114" s="10">
        <v>16.076748374999998</v>
      </c>
      <c r="F114" s="10">
        <v>1.2148750000000019</v>
      </c>
      <c r="G114" s="10">
        <v>23.060863636363649</v>
      </c>
      <c r="H114" s="10">
        <v>108.2779238095238</v>
      </c>
      <c r="I114" s="10">
        <v>4.4903705</v>
      </c>
      <c r="J114" s="10">
        <v>38.149681200000195</v>
      </c>
      <c r="K114" s="10">
        <v>56.247291000000011</v>
      </c>
      <c r="L114" s="11">
        <v>345.9</v>
      </c>
      <c r="M114" s="11">
        <v>71.200000000000017</v>
      </c>
      <c r="N114" s="11">
        <v>5.1558874999999889</v>
      </c>
      <c r="O114" s="11">
        <v>15.843149999999998</v>
      </c>
    </row>
    <row r="115" spans="1:15">
      <c r="A115" s="1" t="s">
        <v>35</v>
      </c>
      <c r="B115" s="1" t="s">
        <v>33</v>
      </c>
      <c r="C115" s="2" t="s">
        <v>11</v>
      </c>
      <c r="D115" s="10">
        <v>6.4629326249999854</v>
      </c>
      <c r="E115" s="10">
        <v>15.488607374999999</v>
      </c>
      <c r="F115" s="10">
        <v>1.363075000000002</v>
      </c>
      <c r="G115" s="10">
        <v>20.411863636363652</v>
      </c>
      <c r="H115" s="10">
        <v>107.69838095238094</v>
      </c>
      <c r="I115" s="10">
        <v>3.7956435000000002</v>
      </c>
      <c r="J115" s="10">
        <v>56.055217200000193</v>
      </c>
      <c r="K115" s="10">
        <v>89.693000999999995</v>
      </c>
      <c r="L115" s="11">
        <v>326.40000000000003</v>
      </c>
      <c r="M115" s="11">
        <v>35.700000000000003</v>
      </c>
      <c r="N115" s="11">
        <v>6.6416874999999891</v>
      </c>
      <c r="O115" s="11">
        <v>17.490449999999999</v>
      </c>
    </row>
    <row r="116" spans="1:15">
      <c r="A116" s="1" t="s">
        <v>35</v>
      </c>
      <c r="B116" s="1" t="s">
        <v>33</v>
      </c>
      <c r="C116" s="2" t="s">
        <v>12</v>
      </c>
      <c r="D116" s="10">
        <v>5.4111476249999857</v>
      </c>
      <c r="E116" s="10">
        <v>13.123164374999998</v>
      </c>
      <c r="F116" s="10">
        <v>1.0894750000000017</v>
      </c>
      <c r="G116" s="10">
        <v>12.62386363636365</v>
      </c>
      <c r="H116" s="10">
        <v>60.079276190476179</v>
      </c>
      <c r="I116" s="10">
        <v>2.8818492999999998</v>
      </c>
      <c r="J116" s="10">
        <v>37.759693200000186</v>
      </c>
      <c r="K116" s="10">
        <v>76.326021000000011</v>
      </c>
      <c r="L116" s="11">
        <v>350.40000000000003</v>
      </c>
      <c r="M116" s="11">
        <v>145.1</v>
      </c>
      <c r="N116" s="11">
        <v>8.0951874999999891</v>
      </c>
      <c r="O116" s="11">
        <v>18.459449999999997</v>
      </c>
    </row>
    <row r="117" spans="1:15">
      <c r="A117" s="1" t="s">
        <v>35</v>
      </c>
      <c r="B117" s="1" t="s">
        <v>33</v>
      </c>
      <c r="C117" s="2" t="s">
        <v>14</v>
      </c>
      <c r="D117" s="10">
        <v>5.140688624999985</v>
      </c>
      <c r="E117" s="10">
        <v>13.500948374999998</v>
      </c>
      <c r="F117" s="10">
        <v>1.061275000000002</v>
      </c>
      <c r="G117" s="10">
        <v>13.913863636363649</v>
      </c>
      <c r="H117" s="10">
        <v>86.3518857142857</v>
      </c>
      <c r="I117" s="10">
        <v>3.5573064999999997</v>
      </c>
      <c r="J117" s="10">
        <v>56.750413200000196</v>
      </c>
      <c r="K117" s="10">
        <v>83.376891000000001</v>
      </c>
      <c r="L117" s="11">
        <v>279.2</v>
      </c>
      <c r="M117" s="11">
        <v>6.3</v>
      </c>
      <c r="N117" s="11">
        <v>5.9310874999999896</v>
      </c>
      <c r="O117" s="11">
        <v>17.974949999999996</v>
      </c>
    </row>
    <row r="118" spans="1:15">
      <c r="A118" s="1" t="s">
        <v>35</v>
      </c>
      <c r="B118" s="1" t="s">
        <v>33</v>
      </c>
      <c r="C118" s="2" t="s">
        <v>15</v>
      </c>
      <c r="D118" s="10">
        <v>5.5055936249999844</v>
      </c>
      <c r="E118" s="10">
        <v>10.920855374999999</v>
      </c>
      <c r="F118" s="10">
        <v>0.97187500000000193</v>
      </c>
      <c r="G118" s="10">
        <v>13.454863636363651</v>
      </c>
      <c r="H118" s="10">
        <v>61.721314285714286</v>
      </c>
      <c r="I118" s="10">
        <v>3.7915867000000003</v>
      </c>
      <c r="J118" s="10">
        <v>36.527557200000189</v>
      </c>
      <c r="K118" s="10">
        <v>112.329261</v>
      </c>
      <c r="L118" s="11">
        <v>383.29999999999995</v>
      </c>
      <c r="M118" s="11">
        <v>80.499999999999986</v>
      </c>
      <c r="N118" s="11">
        <v>5.8664874999999892</v>
      </c>
      <c r="O118" s="11">
        <v>19.202349999999996</v>
      </c>
    </row>
    <row r="119" spans="1:15">
      <c r="A119" s="1" t="s">
        <v>35</v>
      </c>
      <c r="B119" s="1" t="s">
        <v>33</v>
      </c>
      <c r="C119" s="2" t="s">
        <v>16</v>
      </c>
      <c r="D119" s="10">
        <v>9.6869756249999845</v>
      </c>
      <c r="E119" s="10">
        <v>16.162608374999998</v>
      </c>
      <c r="F119" s="10">
        <v>1.5814750000000022</v>
      </c>
      <c r="G119" s="10">
        <v>28.730863636363651</v>
      </c>
      <c r="H119" s="10">
        <v>110.59609523809524</v>
      </c>
      <c r="I119" s="10">
        <v>3.6516270999999998</v>
      </c>
      <c r="J119" s="10">
        <v>34.509793200000196</v>
      </c>
      <c r="K119" s="10">
        <v>60.076520999999993</v>
      </c>
      <c r="L119" s="11">
        <v>332.9</v>
      </c>
      <c r="M119" s="11">
        <v>1.899999999999999</v>
      </c>
      <c r="N119" s="11">
        <v>5.6403874999999886</v>
      </c>
      <c r="O119" s="11">
        <v>20.817349999999994</v>
      </c>
    </row>
    <row r="120" spans="1:15">
      <c r="A120" s="1" t="s">
        <v>35</v>
      </c>
      <c r="B120" s="1" t="s">
        <v>33</v>
      </c>
      <c r="C120" s="2" t="s">
        <v>18</v>
      </c>
      <c r="D120" s="10">
        <v>15.542627624999986</v>
      </c>
      <c r="E120" s="10">
        <v>14.265102375</v>
      </c>
      <c r="F120" s="10">
        <v>1.6180750000000022</v>
      </c>
      <c r="G120" s="10">
        <v>19.71286363636365</v>
      </c>
      <c r="H120" s="10">
        <v>146.23798095238092</v>
      </c>
      <c r="I120" s="10">
        <v>1.4984804999999997</v>
      </c>
      <c r="J120" s="10">
        <v>56.903017200000193</v>
      </c>
      <c r="K120" s="10">
        <v>119.39426100000001</v>
      </c>
      <c r="L120" s="11">
        <v>1395.8000000000002</v>
      </c>
      <c r="M120" s="11">
        <v>1.0000000000000009</v>
      </c>
      <c r="N120" s="11">
        <v>9.3548874999999985</v>
      </c>
      <c r="O120" s="11">
        <v>20.074449999999999</v>
      </c>
    </row>
    <row r="121" spans="1:15">
      <c r="A121" s="1" t="s">
        <v>35</v>
      </c>
      <c r="B121" s="1" t="s">
        <v>33</v>
      </c>
      <c r="C121" s="2" t="s">
        <v>19</v>
      </c>
      <c r="D121" s="10">
        <v>4.9818476249999861</v>
      </c>
      <c r="E121" s="10">
        <v>14.200707375000002</v>
      </c>
      <c r="F121" s="10">
        <v>1.0564750000000021</v>
      </c>
      <c r="G121" s="10">
        <v>22.487863636363624</v>
      </c>
      <c r="H121" s="10">
        <v>100.9370476190476</v>
      </c>
      <c r="I121" s="10">
        <v>4.4741432999999997</v>
      </c>
      <c r="J121" s="10">
        <v>42.976489200000195</v>
      </c>
      <c r="K121" s="10">
        <v>63.905750999999995</v>
      </c>
      <c r="L121" s="11">
        <v>474.19999999999993</v>
      </c>
      <c r="M121" s="11">
        <v>11.4</v>
      </c>
      <c r="N121" s="11">
        <v>6.0925874999999889</v>
      </c>
      <c r="O121" s="11">
        <v>16.521449999999984</v>
      </c>
    </row>
    <row r="122" spans="1:15">
      <c r="A122" s="1" t="s">
        <v>35</v>
      </c>
      <c r="B122" s="1" t="s">
        <v>33</v>
      </c>
      <c r="C122" s="2" t="s">
        <v>20</v>
      </c>
      <c r="D122" s="10">
        <v>6.5831366249999856</v>
      </c>
      <c r="E122" s="10">
        <v>13.891611374999998</v>
      </c>
      <c r="F122" s="10">
        <v>1.1194750000000018</v>
      </c>
      <c r="G122" s="10">
        <v>14.414863636363622</v>
      </c>
      <c r="H122" s="10">
        <v>81.522361904761908</v>
      </c>
      <c r="I122" s="10">
        <v>3.3737362999999996</v>
      </c>
      <c r="J122" s="10">
        <v>37.85577720000019</v>
      </c>
      <c r="K122" s="10">
        <v>57.208130999999995</v>
      </c>
      <c r="L122" s="11">
        <v>295.80000000000007</v>
      </c>
      <c r="M122" s="11">
        <v>47.7</v>
      </c>
      <c r="N122" s="11">
        <v>7.2553874999999888</v>
      </c>
      <c r="O122" s="11">
        <v>20.429749999999995</v>
      </c>
    </row>
    <row r="123" spans="1:15">
      <c r="A123" s="1" t="s">
        <v>35</v>
      </c>
      <c r="B123" s="1" t="s">
        <v>33</v>
      </c>
      <c r="C123" s="2" t="s">
        <v>22</v>
      </c>
      <c r="D123" s="10">
        <v>5.2265486249999871</v>
      </c>
      <c r="E123" s="10">
        <v>14.063331374999999</v>
      </c>
      <c r="F123" s="10">
        <v>1.1470750000000018</v>
      </c>
      <c r="G123" s="10">
        <v>19.004863636363648</v>
      </c>
      <c r="H123" s="10">
        <v>61.817904761904757</v>
      </c>
      <c r="I123" s="10">
        <v>3.4599432999999999</v>
      </c>
      <c r="J123" s="10">
        <v>43.010401200000189</v>
      </c>
      <c r="K123" s="10">
        <v>82.995380999999995</v>
      </c>
      <c r="L123" s="11">
        <v>473.6</v>
      </c>
      <c r="M123" s="11">
        <v>158.50000000000003</v>
      </c>
      <c r="N123" s="11">
        <v>5.4788874999999901</v>
      </c>
      <c r="O123" s="11">
        <v>10.901249999999987</v>
      </c>
    </row>
    <row r="124" spans="1:15">
      <c r="A124" s="1" t="s">
        <v>35</v>
      </c>
      <c r="B124" s="1" t="s">
        <v>33</v>
      </c>
      <c r="C124" s="2" t="s">
        <v>23</v>
      </c>
      <c r="D124" s="10">
        <v>5.655848624999984</v>
      </c>
      <c r="E124" s="10">
        <v>13.702719374999999</v>
      </c>
      <c r="F124" s="10">
        <v>1.150075000000002</v>
      </c>
      <c r="G124" s="10">
        <v>19.919863636363623</v>
      </c>
      <c r="H124" s="10">
        <v>76.596247619047617</v>
      </c>
      <c r="I124" s="10">
        <v>4.1658264999999997</v>
      </c>
      <c r="J124" s="10">
        <v>27.687829200000017</v>
      </c>
      <c r="K124" s="10">
        <v>63.284031000000006</v>
      </c>
      <c r="L124" s="11">
        <v>264.60000000000008</v>
      </c>
      <c r="M124" s="11">
        <v>5.9000000000000021</v>
      </c>
      <c r="N124" s="11">
        <v>3.9930874999999886</v>
      </c>
      <c r="O124" s="11">
        <v>17.393550000000001</v>
      </c>
    </row>
    <row r="125" spans="1:15">
      <c r="A125" s="1" t="s">
        <v>35</v>
      </c>
      <c r="B125" s="1" t="s">
        <v>33</v>
      </c>
      <c r="C125" s="2" t="s">
        <v>24</v>
      </c>
      <c r="D125" s="10">
        <v>6.9051116249999849</v>
      </c>
      <c r="E125" s="10">
        <v>17.596470374999999</v>
      </c>
      <c r="F125" s="10">
        <v>1.234675000000002</v>
      </c>
      <c r="G125" s="10">
        <v>22.433863636363654</v>
      </c>
      <c r="H125" s="10">
        <v>111.27222857142854</v>
      </c>
      <c r="I125" s="10">
        <v>3.3372250999999999</v>
      </c>
      <c r="J125" s="10">
        <v>30.672085200000019</v>
      </c>
      <c r="K125" s="10">
        <v>87.983271000000002</v>
      </c>
      <c r="L125" s="11">
        <v>311.20000000000005</v>
      </c>
      <c r="M125" s="11">
        <v>33.399999999999991</v>
      </c>
      <c r="N125" s="11">
        <v>8.4504874999999977</v>
      </c>
      <c r="O125" s="11">
        <v>14.260449999999999</v>
      </c>
    </row>
    <row r="126" spans="1:15">
      <c r="A126" s="1" t="s">
        <v>35</v>
      </c>
      <c r="B126" s="1" t="s">
        <v>33</v>
      </c>
      <c r="C126" s="2" t="s">
        <v>26</v>
      </c>
      <c r="D126" s="10">
        <v>5.4841286249999843</v>
      </c>
      <c r="E126" s="10">
        <v>18.819975374999999</v>
      </c>
      <c r="F126" s="10">
        <v>1.2430750000000022</v>
      </c>
      <c r="G126" s="10">
        <v>17.033863636363648</v>
      </c>
      <c r="H126" s="10">
        <v>92.533676190476172</v>
      </c>
      <c r="I126" s="10">
        <v>3.8990919000000002</v>
      </c>
      <c r="J126" s="10">
        <v>62.391109200000173</v>
      </c>
      <c r="K126" s="10">
        <v>69.925131000000022</v>
      </c>
      <c r="L126" s="11">
        <v>371.20000000000005</v>
      </c>
      <c r="M126" s="11">
        <v>27.300000000000004</v>
      </c>
      <c r="N126" s="11">
        <v>5.7372874999999901</v>
      </c>
      <c r="O126" s="11">
        <v>15.843149999999998</v>
      </c>
    </row>
    <row r="127" spans="1:15">
      <c r="A127" s="1" t="s">
        <v>35</v>
      </c>
      <c r="B127" s="1" t="s">
        <v>33</v>
      </c>
      <c r="C127" s="2" t="s">
        <v>27</v>
      </c>
      <c r="D127" s="10">
        <v>5.8232756249999866</v>
      </c>
      <c r="E127" s="10">
        <v>13.093113374999998</v>
      </c>
      <c r="F127" s="10">
        <v>1.147675000000002</v>
      </c>
      <c r="G127" s="10">
        <v>18.02386363636365</v>
      </c>
      <c r="H127" s="10">
        <v>146.23798095238092</v>
      </c>
      <c r="I127" s="10">
        <v>3.2895577</v>
      </c>
      <c r="J127" s="10">
        <v>64.708429200000197</v>
      </c>
      <c r="K127" s="10">
        <v>96.885171</v>
      </c>
      <c r="L127" s="11">
        <v>667.50000000000011</v>
      </c>
      <c r="M127" s="11">
        <v>11.499999999999996</v>
      </c>
      <c r="N127" s="11">
        <v>6.2540874999999891</v>
      </c>
      <c r="O127" s="11">
        <v>18.265649999999997</v>
      </c>
    </row>
    <row r="128" spans="1:15">
      <c r="A128" s="1" t="s">
        <v>35</v>
      </c>
      <c r="B128" s="1" t="s">
        <v>34</v>
      </c>
      <c r="C128" s="2" t="s">
        <v>4</v>
      </c>
      <c r="D128" s="10">
        <v>5.6901926249999848</v>
      </c>
      <c r="E128" s="10">
        <v>11.654958375</v>
      </c>
      <c r="F128" s="10">
        <v>1.2172750000000019</v>
      </c>
      <c r="G128" s="10">
        <v>15.365863636363649</v>
      </c>
      <c r="H128" s="10">
        <v>98.956942857142863</v>
      </c>
      <c r="I128" s="10">
        <v>3.945914133333337</v>
      </c>
      <c r="J128" s="10">
        <v>39.270661199999999</v>
      </c>
      <c r="K128" s="10">
        <v>72.654576000000048</v>
      </c>
      <c r="L128" s="11">
        <v>771.8</v>
      </c>
      <c r="M128" s="11">
        <v>30.799999999999994</v>
      </c>
      <c r="N128" s="11">
        <v>9.6132874999999878</v>
      </c>
      <c r="O128" s="11">
        <v>16.813495833333338</v>
      </c>
    </row>
    <row r="129" spans="1:15">
      <c r="A129" s="1" t="s">
        <v>35</v>
      </c>
      <c r="B129" s="1" t="s">
        <v>34</v>
      </c>
      <c r="C129" s="2" t="s">
        <v>6</v>
      </c>
      <c r="D129" s="10">
        <v>6.6904616249999851</v>
      </c>
      <c r="E129" s="10">
        <v>11.058231374999998</v>
      </c>
      <c r="F129" s="10">
        <v>1.0276750000000021</v>
      </c>
      <c r="G129" s="10">
        <v>12.869863636363648</v>
      </c>
      <c r="H129" s="10">
        <v>44.769685714285707</v>
      </c>
      <c r="I129" s="10">
        <v>4.1345553333333367</v>
      </c>
      <c r="J129" s="10">
        <v>32.081317200000001</v>
      </c>
      <c r="K129" s="10">
        <v>90.147516000000053</v>
      </c>
      <c r="L129" s="11">
        <v>339.09999999999997</v>
      </c>
      <c r="M129" s="11">
        <v>48.8</v>
      </c>
      <c r="N129" s="11">
        <v>5.963387499999989</v>
      </c>
      <c r="O129" s="11">
        <v>20.689495833333343</v>
      </c>
    </row>
    <row r="130" spans="1:15">
      <c r="A130" s="1" t="s">
        <v>35</v>
      </c>
      <c r="B130" s="1" t="s">
        <v>34</v>
      </c>
      <c r="C130" s="2" t="s">
        <v>7</v>
      </c>
      <c r="D130" s="10">
        <v>5.2909436249999855</v>
      </c>
      <c r="E130" s="10">
        <v>9.8905353750000007</v>
      </c>
      <c r="F130" s="10">
        <v>1.1524750000000021</v>
      </c>
      <c r="G130" s="10">
        <v>10.007863636363652</v>
      </c>
      <c r="H130" s="10">
        <v>86.593361904761892</v>
      </c>
      <c r="I130" s="10">
        <v>4.5939879333333362</v>
      </c>
      <c r="J130" s="10">
        <v>62.172565199999994</v>
      </c>
      <c r="K130" s="10">
        <v>97.339686000000043</v>
      </c>
      <c r="L130" s="11">
        <v>334.99999999999994</v>
      </c>
      <c r="M130" s="11">
        <v>18.599999999999991</v>
      </c>
      <c r="N130" s="11">
        <v>5.963387499999989</v>
      </c>
      <c r="O130" s="11">
        <v>16.55509583333334</v>
      </c>
    </row>
    <row r="131" spans="1:15">
      <c r="A131" s="1" t="s">
        <v>35</v>
      </c>
      <c r="B131" s="1" t="s">
        <v>34</v>
      </c>
      <c r="C131" s="2" t="s">
        <v>8</v>
      </c>
      <c r="D131" s="10">
        <v>6.7033406249999841</v>
      </c>
      <c r="E131" s="10">
        <v>21.400068375000004</v>
      </c>
      <c r="F131" s="10">
        <v>1.1128750000000018</v>
      </c>
      <c r="G131" s="10">
        <v>18.554863636363653</v>
      </c>
      <c r="H131" s="10">
        <v>86.689952380952363</v>
      </c>
      <c r="I131" s="10">
        <v>6.5412519333333359</v>
      </c>
      <c r="J131" s="10">
        <v>57.340105199999989</v>
      </c>
      <c r="K131" s="10">
        <v>46.443426000000052</v>
      </c>
      <c r="L131" s="11">
        <v>270.89999999999998</v>
      </c>
      <c r="M131" s="11">
        <v>7.4000000000000039</v>
      </c>
      <c r="N131" s="11">
        <v>4.7682874999999898</v>
      </c>
      <c r="O131" s="11">
        <v>16.32899583333333</v>
      </c>
    </row>
    <row r="132" spans="1:15">
      <c r="A132" s="1" t="s">
        <v>35</v>
      </c>
      <c r="B132" s="1" t="s">
        <v>34</v>
      </c>
      <c r="C132" s="2" t="s">
        <v>10</v>
      </c>
      <c r="D132" s="10">
        <v>4.715681624999986</v>
      </c>
      <c r="E132" s="10">
        <v>15.488607374999999</v>
      </c>
      <c r="F132" s="10">
        <v>1.0132750000000021</v>
      </c>
      <c r="G132" s="10">
        <v>23.513863636363645</v>
      </c>
      <c r="H132" s="10">
        <v>54.138961904761906</v>
      </c>
      <c r="I132" s="10">
        <v>5.1254287333333366</v>
      </c>
      <c r="J132" s="10">
        <v>14.707069200000003</v>
      </c>
      <c r="K132" s="10">
        <v>68.556876000000045</v>
      </c>
      <c r="L132" s="11">
        <v>397.1</v>
      </c>
      <c r="M132" s="11">
        <v>0.89999999999999802</v>
      </c>
      <c r="N132" s="11">
        <v>7.1907874999999892</v>
      </c>
      <c r="O132" s="11">
        <v>14.326395833333331</v>
      </c>
    </row>
    <row r="133" spans="1:15">
      <c r="A133" s="1" t="s">
        <v>35</v>
      </c>
      <c r="B133" s="1" t="s">
        <v>34</v>
      </c>
      <c r="C133" s="2" t="s">
        <v>11</v>
      </c>
      <c r="D133" s="10">
        <v>5.8275686249999845</v>
      </c>
      <c r="E133" s="10">
        <v>15.037842374999999</v>
      </c>
      <c r="F133" s="10">
        <v>1.0054750000000019</v>
      </c>
      <c r="G133" s="10">
        <v>18.425863636363648</v>
      </c>
      <c r="H133" s="10">
        <v>81.087704761904746</v>
      </c>
      <c r="I133" s="10">
        <v>5.9063627333333368</v>
      </c>
      <c r="J133" s="10">
        <v>52.518949200000009</v>
      </c>
      <c r="K133" s="10">
        <v>72.626316000000045</v>
      </c>
      <c r="L133" s="11">
        <v>387.9</v>
      </c>
      <c r="M133" s="11">
        <v>113.80000000000001</v>
      </c>
      <c r="N133" s="11">
        <v>5.8664874999999892</v>
      </c>
      <c r="O133" s="11">
        <v>9.2229958333333428</v>
      </c>
    </row>
    <row r="134" spans="1:15">
      <c r="A134" s="1" t="s">
        <v>35</v>
      </c>
      <c r="B134" s="1" t="s">
        <v>34</v>
      </c>
      <c r="C134" s="2" t="s">
        <v>12</v>
      </c>
      <c r="D134" s="10">
        <v>5.3725106249999852</v>
      </c>
      <c r="E134" s="10">
        <v>10.603173374999999</v>
      </c>
      <c r="F134" s="10">
        <v>0.97787500000000183</v>
      </c>
      <c r="G134" s="10">
        <v>11.39986363636365</v>
      </c>
      <c r="H134" s="10">
        <v>136.72381904761906</v>
      </c>
      <c r="I134" s="10">
        <v>8.3992663333333368</v>
      </c>
      <c r="J134" s="10">
        <v>63.353833200000011</v>
      </c>
      <c r="K134" s="10">
        <v>88.847556000000054</v>
      </c>
      <c r="L134" s="11">
        <v>305.20000000000005</v>
      </c>
      <c r="M134" s="11">
        <v>27.700000000000003</v>
      </c>
      <c r="N134" s="11">
        <v>6.3186874999999993</v>
      </c>
      <c r="O134" s="11">
        <v>15.069295833333344</v>
      </c>
    </row>
    <row r="135" spans="1:15">
      <c r="A135" s="1" t="s">
        <v>35</v>
      </c>
      <c r="B135" s="1" t="s">
        <v>34</v>
      </c>
      <c r="C135" s="2" t="s">
        <v>14</v>
      </c>
      <c r="D135" s="10">
        <v>4.4795666249999853</v>
      </c>
      <c r="E135" s="10">
        <v>12.504972374999998</v>
      </c>
      <c r="F135" s="10">
        <v>1.027075000000002</v>
      </c>
      <c r="G135" s="10">
        <v>13.811863636363649</v>
      </c>
      <c r="H135" s="10">
        <v>85.144504761904741</v>
      </c>
      <c r="I135" s="10">
        <v>5.214678333333338</v>
      </c>
      <c r="J135" s="10">
        <v>51.558109200000004</v>
      </c>
      <c r="K135" s="10">
        <v>111.27186600000005</v>
      </c>
      <c r="L135" s="11">
        <v>315.90000000000009</v>
      </c>
      <c r="M135" s="11">
        <v>29.200000000000003</v>
      </c>
      <c r="N135" s="11">
        <v>4.9620874999999893</v>
      </c>
      <c r="O135" s="11">
        <v>15.553795833333341</v>
      </c>
    </row>
    <row r="136" spans="1:15">
      <c r="A136" s="1" t="s">
        <v>35</v>
      </c>
      <c r="B136" s="1" t="s">
        <v>34</v>
      </c>
      <c r="C136" s="2" t="s">
        <v>15</v>
      </c>
      <c r="D136" s="10">
        <v>5.9434796249999851</v>
      </c>
      <c r="E136" s="10">
        <v>13.990350374999998</v>
      </c>
      <c r="F136" s="10">
        <v>1.0096750000000019</v>
      </c>
      <c r="G136" s="10">
        <v>17.216863636363648</v>
      </c>
      <c r="H136" s="10">
        <v>68.241171428571434</v>
      </c>
      <c r="I136" s="10">
        <v>14.673445600000001</v>
      </c>
      <c r="J136" s="10">
        <v>44.623105199999998</v>
      </c>
      <c r="K136" s="10">
        <v>77.854416000000043</v>
      </c>
      <c r="L136" s="11">
        <v>375.59999999999997</v>
      </c>
      <c r="M136" s="11">
        <v>73.600000000000009</v>
      </c>
      <c r="N136" s="11">
        <v>7.2230874999999903</v>
      </c>
      <c r="O136" s="11">
        <v>18.686895833333342</v>
      </c>
    </row>
    <row r="137" spans="1:15">
      <c r="A137" s="1" t="s">
        <v>35</v>
      </c>
      <c r="B137" s="1" t="s">
        <v>34</v>
      </c>
      <c r="C137" s="2" t="s">
        <v>16</v>
      </c>
      <c r="D137" s="10">
        <v>4.7500256249999859</v>
      </c>
      <c r="E137" s="10">
        <v>16.785093375000002</v>
      </c>
      <c r="F137" s="10">
        <v>1.1224750000000021</v>
      </c>
      <c r="G137" s="10">
        <v>18.38086363636365</v>
      </c>
      <c r="H137" s="10">
        <v>76.837723809523808</v>
      </c>
      <c r="I137" s="10">
        <v>6.6862825333333369</v>
      </c>
      <c r="J137" s="10">
        <v>40.016725200000003</v>
      </c>
      <c r="K137" s="10">
        <v>95.07888600000004</v>
      </c>
      <c r="L137" s="11">
        <v>421.29999999999995</v>
      </c>
      <c r="M137" s="11">
        <v>94.7</v>
      </c>
      <c r="N137" s="11">
        <v>5.8664874999999892</v>
      </c>
      <c r="O137" s="11">
        <v>15.876795833333343</v>
      </c>
    </row>
    <row r="138" spans="1:15">
      <c r="A138" s="1" t="s">
        <v>35</v>
      </c>
      <c r="B138" s="1" t="s">
        <v>34</v>
      </c>
      <c r="C138" s="2" t="s">
        <v>18</v>
      </c>
      <c r="D138" s="10">
        <v>5.0762936249999848</v>
      </c>
      <c r="E138" s="10">
        <v>16.089627374999999</v>
      </c>
      <c r="F138" s="10">
        <v>1.262875000000002</v>
      </c>
      <c r="G138" s="10">
        <v>17.609863636363649</v>
      </c>
      <c r="H138" s="10">
        <v>113.25233333333331</v>
      </c>
      <c r="I138" s="10">
        <v>7.0098123333333371</v>
      </c>
      <c r="J138" s="10">
        <v>53.796301200000009</v>
      </c>
      <c r="K138" s="10">
        <v>103.23189600000005</v>
      </c>
      <c r="L138" s="11">
        <v>364.50000000000006</v>
      </c>
      <c r="M138" s="11">
        <v>20.999999999999989</v>
      </c>
      <c r="N138" s="11">
        <v>4.5744874999999894</v>
      </c>
      <c r="O138" s="11">
        <v>20.075795833333338</v>
      </c>
    </row>
    <row r="139" spans="1:15">
      <c r="A139" s="1" t="s">
        <v>35</v>
      </c>
      <c r="B139" s="1" t="s">
        <v>34</v>
      </c>
      <c r="C139" s="2" t="s">
        <v>19</v>
      </c>
      <c r="D139" s="10">
        <v>6.5573786249999859</v>
      </c>
      <c r="E139" s="10">
        <v>12.929979375</v>
      </c>
      <c r="F139" s="10">
        <v>0.93767500000000192</v>
      </c>
      <c r="G139" s="10">
        <v>16.253863636363651</v>
      </c>
      <c r="H139" s="10">
        <v>120.78639047619046</v>
      </c>
      <c r="I139" s="10">
        <v>6.3201563333333377</v>
      </c>
      <c r="J139" s="10">
        <v>66.880681199999984</v>
      </c>
      <c r="K139" s="10">
        <v>96.929916000000048</v>
      </c>
      <c r="L139" s="11">
        <v>392.19999999999993</v>
      </c>
      <c r="M139" s="11">
        <v>47.800000000000011</v>
      </c>
      <c r="N139" s="11">
        <v>5.8664874999999892</v>
      </c>
      <c r="O139" s="11">
        <v>18.686895833333342</v>
      </c>
    </row>
    <row r="140" spans="1:15">
      <c r="A140" s="1" t="s">
        <v>35</v>
      </c>
      <c r="B140" s="1" t="s">
        <v>34</v>
      </c>
      <c r="C140" s="2" t="s">
        <v>20</v>
      </c>
      <c r="D140" s="10">
        <v>6.6518246249999855</v>
      </c>
      <c r="E140" s="10">
        <v>15.874977374999999</v>
      </c>
      <c r="F140" s="10">
        <v>1.6720750000000022</v>
      </c>
      <c r="G140" s="10">
        <v>24.131863636363651</v>
      </c>
      <c r="H140" s="10">
        <v>105.04214285714286</v>
      </c>
      <c r="I140" s="10">
        <v>3.4793821333333366</v>
      </c>
      <c r="J140" s="10">
        <v>45.210913199999993</v>
      </c>
      <c r="K140" s="10">
        <v>99.247236000000044</v>
      </c>
      <c r="L140" s="11">
        <v>473.00000000000006</v>
      </c>
      <c r="M140" s="11">
        <v>5.399999999999995</v>
      </c>
      <c r="N140" s="11">
        <v>6.0602874999999896</v>
      </c>
      <c r="O140" s="11">
        <v>18.460795833333343</v>
      </c>
    </row>
    <row r="141" spans="1:15">
      <c r="A141" s="1" t="s">
        <v>35</v>
      </c>
      <c r="B141" s="1" t="s">
        <v>34</v>
      </c>
      <c r="C141" s="2" t="s">
        <v>22</v>
      </c>
      <c r="D141" s="10">
        <v>5.7502946249999853</v>
      </c>
      <c r="E141" s="10">
        <v>14.071917375</v>
      </c>
      <c r="F141" s="10">
        <v>1.0396750000000019</v>
      </c>
      <c r="G141" s="10">
        <v>16.400863636363649</v>
      </c>
      <c r="H141" s="10">
        <v>82.826333333333324</v>
      </c>
      <c r="I141" s="10">
        <v>7.933748533333338</v>
      </c>
      <c r="J141" s="10">
        <v>30.216157200000005</v>
      </c>
      <c r="K141" s="10">
        <v>74.491476000000048</v>
      </c>
      <c r="L141" s="11">
        <v>358.3</v>
      </c>
      <c r="M141" s="11">
        <v>19.100000000000005</v>
      </c>
      <c r="N141" s="11">
        <v>6.2540874999999891</v>
      </c>
      <c r="O141" s="11">
        <v>17.330295833333331</v>
      </c>
    </row>
    <row r="142" spans="1:15">
      <c r="A142" s="1" t="s">
        <v>35</v>
      </c>
      <c r="B142" s="1" t="s">
        <v>34</v>
      </c>
      <c r="C142" s="2" t="s">
        <v>23</v>
      </c>
      <c r="D142" s="10">
        <v>6.076562624999986</v>
      </c>
      <c r="E142" s="10">
        <v>14.977740374999998</v>
      </c>
      <c r="F142" s="10">
        <v>1.1188750000000018</v>
      </c>
      <c r="G142" s="10">
        <v>22.79986363636365</v>
      </c>
      <c r="H142" s="10">
        <v>47.087857142857139</v>
      </c>
      <c r="I142" s="10">
        <v>6.2156937333333371</v>
      </c>
      <c r="J142" s="10">
        <v>62.896021199999993</v>
      </c>
      <c r="K142" s="10">
        <v>59.527806000000062</v>
      </c>
      <c r="L142" s="11">
        <v>311.79999999999995</v>
      </c>
      <c r="M142" s="11">
        <v>50</v>
      </c>
      <c r="N142" s="11">
        <v>6.4801874999999898</v>
      </c>
      <c r="O142" s="11">
        <v>16.813495833333342</v>
      </c>
    </row>
    <row r="143" spans="1:15">
      <c r="A143" s="1" t="s">
        <v>35</v>
      </c>
      <c r="B143" s="1" t="s">
        <v>34</v>
      </c>
      <c r="C143" s="2" t="s">
        <v>24</v>
      </c>
      <c r="D143" s="10">
        <v>7.1455196249999853</v>
      </c>
      <c r="E143" s="10">
        <v>16.506048374999999</v>
      </c>
      <c r="F143" s="10">
        <v>1.3780750000000019</v>
      </c>
      <c r="G143" s="10">
        <v>21.578863636363646</v>
      </c>
      <c r="H143" s="10">
        <v>163.18960952380951</v>
      </c>
      <c r="I143" s="10">
        <v>7.4834437333333375</v>
      </c>
      <c r="J143" s="10">
        <v>69.214957200000001</v>
      </c>
      <c r="K143" s="10">
        <v>70.026396000000048</v>
      </c>
      <c r="L143" s="11">
        <v>325.20000000000005</v>
      </c>
      <c r="M143" s="11">
        <v>46.1</v>
      </c>
      <c r="N143" s="11">
        <v>4.9620874999999893</v>
      </c>
      <c r="O143" s="11">
        <v>16.135195833333345</v>
      </c>
    </row>
    <row r="144" spans="1:15">
      <c r="A144" s="1" t="s">
        <v>35</v>
      </c>
      <c r="B144" s="1" t="s">
        <v>34</v>
      </c>
      <c r="C144" s="2" t="s">
        <v>26</v>
      </c>
      <c r="D144" s="10">
        <v>5.7975176249999851</v>
      </c>
      <c r="E144" s="10">
        <v>14.569905374999999</v>
      </c>
      <c r="F144" s="10">
        <v>1.1506750000000019</v>
      </c>
      <c r="G144" s="10">
        <v>18.509863636363651</v>
      </c>
      <c r="H144" s="10">
        <v>81.957019047619042</v>
      </c>
      <c r="I144" s="10">
        <v>8.2451079333333368</v>
      </c>
      <c r="J144" s="10">
        <v>39.417613200000005</v>
      </c>
      <c r="K144" s="10">
        <v>47.616216000000051</v>
      </c>
      <c r="L144" s="11">
        <v>369.4</v>
      </c>
      <c r="M144" s="11">
        <v>56.79999999999999</v>
      </c>
      <c r="N144" s="11">
        <v>4.1222874999999899</v>
      </c>
      <c r="O144" s="11">
        <v>15.036995833333332</v>
      </c>
    </row>
    <row r="145" spans="1:15">
      <c r="A145" s="1" t="s">
        <v>35</v>
      </c>
      <c r="B145" s="1" t="s">
        <v>34</v>
      </c>
      <c r="C145" s="2" t="s">
        <v>27</v>
      </c>
      <c r="D145" s="10">
        <v>7.3387046249999868</v>
      </c>
      <c r="E145" s="10">
        <v>13.921662374999999</v>
      </c>
      <c r="F145" s="10">
        <v>1.063075000000002</v>
      </c>
      <c r="G145" s="10">
        <v>15.368863636363651</v>
      </c>
      <c r="H145" s="10">
        <v>134.40564761904761</v>
      </c>
      <c r="I145" s="10">
        <v>17.026389599999998</v>
      </c>
      <c r="J145" s="10">
        <v>62.777329199999997</v>
      </c>
      <c r="K145" s="10">
        <v>67.355826000000064</v>
      </c>
      <c r="L145" s="11">
        <v>351.50000000000006</v>
      </c>
      <c r="M145" s="11">
        <v>49.600000000000009</v>
      </c>
      <c r="N145" s="11">
        <v>5.9310874999999896</v>
      </c>
      <c r="O145" s="11">
        <v>10.514995833333334</v>
      </c>
    </row>
    <row r="146" spans="1:15">
      <c r="A146" s="1" t="s">
        <v>36</v>
      </c>
      <c r="B146" s="1" t="s">
        <v>37</v>
      </c>
      <c r="C146" s="2" t="s">
        <v>4</v>
      </c>
      <c r="D146" s="10">
        <v>5.5317093750000144</v>
      </c>
      <c r="E146" s="10">
        <v>18.740554874999997</v>
      </c>
      <c r="F146" s="10">
        <v>1.8486000000000002</v>
      </c>
      <c r="G146" s="10">
        <v>25.247874999999986</v>
      </c>
      <c r="H146" s="10">
        <v>181.15543809523811</v>
      </c>
      <c r="I146" s="10">
        <v>3.0011868333333362</v>
      </c>
      <c r="J146" s="10">
        <v>68.7279431999998</v>
      </c>
      <c r="K146" s="10">
        <v>35.911865999999961</v>
      </c>
      <c r="L146" s="11">
        <v>308.5</v>
      </c>
      <c r="M146" s="11">
        <v>466.30000000000007</v>
      </c>
      <c r="N146" s="11">
        <v>6.5999666666666652</v>
      </c>
      <c r="O146" s="11">
        <v>15.504</v>
      </c>
    </row>
    <row r="147" spans="1:15">
      <c r="A147" s="1" t="s">
        <v>36</v>
      </c>
      <c r="B147" s="1" t="s">
        <v>37</v>
      </c>
      <c r="C147" s="2" t="s">
        <v>6</v>
      </c>
      <c r="D147" s="10">
        <v>6.2142963750000142</v>
      </c>
      <c r="E147" s="10">
        <v>15.366256874999998</v>
      </c>
      <c r="F147" s="10">
        <v>0.96660000000000013</v>
      </c>
      <c r="G147" s="10">
        <v>18.212874999999993</v>
      </c>
      <c r="H147" s="10">
        <v>69.593438095238071</v>
      </c>
      <c r="I147" s="10">
        <v>4.5376998333333356</v>
      </c>
      <c r="J147" s="10">
        <v>42.084415199999818</v>
      </c>
      <c r="K147" s="10">
        <v>59.226365999999949</v>
      </c>
      <c r="L147" s="11">
        <v>190.70000000000002</v>
      </c>
      <c r="M147" s="11">
        <v>562.5</v>
      </c>
      <c r="N147" s="11">
        <v>4.7265666666666633</v>
      </c>
      <c r="O147" s="11">
        <v>19.186199999999996</v>
      </c>
    </row>
    <row r="148" spans="1:15">
      <c r="A148" s="1" t="s">
        <v>36</v>
      </c>
      <c r="B148" s="1" t="s">
        <v>37</v>
      </c>
      <c r="C148" s="2" t="s">
        <v>7</v>
      </c>
      <c r="D148" s="10">
        <v>5.1496323750000137</v>
      </c>
      <c r="E148" s="10">
        <v>16.928908875000001</v>
      </c>
      <c r="F148" s="10">
        <v>1.3301999999999998</v>
      </c>
      <c r="G148" s="10">
        <v>19.100874999999988</v>
      </c>
      <c r="H148" s="10">
        <v>132.37724761904761</v>
      </c>
      <c r="I148" s="10">
        <v>2.8602130333333369</v>
      </c>
      <c r="J148" s="10">
        <v>30.136087199999984</v>
      </c>
      <c r="K148" s="10">
        <v>68.778245999999953</v>
      </c>
      <c r="L148" s="11">
        <v>369.99999999999994</v>
      </c>
      <c r="M148" s="11">
        <v>501.50000000000006</v>
      </c>
      <c r="N148" s="11">
        <v>5.2110666666666647</v>
      </c>
      <c r="O148" s="11">
        <v>16.699099999999998</v>
      </c>
    </row>
    <row r="149" spans="1:15">
      <c r="A149" s="1" t="s">
        <v>36</v>
      </c>
      <c r="B149" s="1" t="s">
        <v>37</v>
      </c>
      <c r="C149" s="2" t="s">
        <v>8</v>
      </c>
      <c r="D149" s="10">
        <v>5.0852373750000144</v>
      </c>
      <c r="E149" s="10">
        <v>15.434944875000001</v>
      </c>
      <c r="F149" s="10">
        <v>1.4141999999999999</v>
      </c>
      <c r="G149" s="10">
        <v>30.179874999999903</v>
      </c>
      <c r="H149" s="10">
        <v>111.80347619047616</v>
      </c>
      <c r="I149" s="10">
        <v>3.789220233333336</v>
      </c>
      <c r="J149" s="10">
        <v>19.001647199999983</v>
      </c>
      <c r="K149" s="10">
        <v>79.008365999999953</v>
      </c>
      <c r="L149" s="11">
        <v>237.70000000000002</v>
      </c>
      <c r="M149" s="11">
        <v>580.90000000000009</v>
      </c>
      <c r="N149" s="11">
        <v>5.0495666666666645</v>
      </c>
      <c r="O149" s="11">
        <v>16.311499999999999</v>
      </c>
    </row>
    <row r="150" spans="1:15">
      <c r="A150" s="1" t="s">
        <v>36</v>
      </c>
      <c r="B150" s="1" t="s">
        <v>37</v>
      </c>
      <c r="C150" s="2" t="s">
        <v>10</v>
      </c>
      <c r="D150" s="10">
        <v>6.2872773750000155</v>
      </c>
      <c r="E150" s="10">
        <v>15.632422875000001</v>
      </c>
      <c r="F150" s="10">
        <v>1.7310000000000001</v>
      </c>
      <c r="G150" s="10">
        <v>12.620874999999991</v>
      </c>
      <c r="H150" s="10">
        <v>154.97941904761902</v>
      </c>
      <c r="I150" s="10">
        <v>2.5407400333333365</v>
      </c>
      <c r="J150" s="10">
        <v>44.136091199999818</v>
      </c>
      <c r="K150" s="10">
        <v>44.559425999999959</v>
      </c>
      <c r="L150" s="11">
        <v>193.20000000000002</v>
      </c>
      <c r="M150" s="11">
        <v>478.29999999999995</v>
      </c>
      <c r="N150" s="11">
        <v>5.1141666666666641</v>
      </c>
      <c r="O150" s="11">
        <v>11.143499999999987</v>
      </c>
    </row>
    <row r="151" spans="1:15">
      <c r="A151" s="1" t="s">
        <v>36</v>
      </c>
      <c r="B151" s="1" t="s">
        <v>37</v>
      </c>
      <c r="C151" s="2" t="s">
        <v>11</v>
      </c>
      <c r="D151" s="10">
        <v>5.3986263750000134</v>
      </c>
      <c r="E151" s="10">
        <v>11.786431499999999</v>
      </c>
      <c r="F151" s="10">
        <v>1.1496</v>
      </c>
      <c r="G151" s="10">
        <v>17.65787499999999</v>
      </c>
      <c r="H151" s="10">
        <v>97.604676190476169</v>
      </c>
      <c r="I151" s="10">
        <v>6.2537262333333361</v>
      </c>
      <c r="J151" s="10">
        <v>20.295955199999984</v>
      </c>
      <c r="K151" s="10">
        <v>79.997465999999946</v>
      </c>
      <c r="L151" s="11">
        <v>180.4</v>
      </c>
      <c r="M151" s="11">
        <v>598.6</v>
      </c>
      <c r="N151" s="11">
        <v>4.8234666666666648</v>
      </c>
      <c r="O151" s="11">
        <v>14.308899999999998</v>
      </c>
    </row>
    <row r="152" spans="1:15">
      <c r="A152" s="1" t="s">
        <v>36</v>
      </c>
      <c r="B152" s="1" t="s">
        <v>37</v>
      </c>
      <c r="C152" s="2" t="s">
        <v>12</v>
      </c>
      <c r="D152" s="10">
        <v>4.037745375000001</v>
      </c>
      <c r="E152" s="10">
        <v>16.843048875000001</v>
      </c>
      <c r="F152" s="10">
        <v>1.2311999999999999</v>
      </c>
      <c r="G152" s="10">
        <v>19.967874999999992</v>
      </c>
      <c r="H152" s="10">
        <v>128.70680952380951</v>
      </c>
      <c r="I152" s="10">
        <v>2.2831332333333365</v>
      </c>
      <c r="J152" s="10">
        <v>85.164336000000006</v>
      </c>
      <c r="K152" s="10">
        <v>69.173885999999953</v>
      </c>
      <c r="L152" s="11">
        <v>143.19999999999999</v>
      </c>
      <c r="M152" s="11">
        <v>488.9</v>
      </c>
      <c r="N152" s="11">
        <v>3.9190666666666623</v>
      </c>
      <c r="O152" s="11">
        <v>15.6332</v>
      </c>
    </row>
    <row r="153" spans="1:15">
      <c r="A153" s="1" t="s">
        <v>36</v>
      </c>
      <c r="B153" s="1" t="s">
        <v>37</v>
      </c>
      <c r="C153" s="2" t="s">
        <v>14</v>
      </c>
      <c r="D153" s="10">
        <v>4.9693263750000147</v>
      </c>
      <c r="E153" s="10">
        <v>13.335667875</v>
      </c>
      <c r="F153" s="10">
        <v>1.1916</v>
      </c>
      <c r="G153" s="10">
        <v>13.688874999999991</v>
      </c>
      <c r="H153" s="10">
        <v>145.80332380952379</v>
      </c>
      <c r="I153" s="10">
        <v>3.3013900333333366</v>
      </c>
      <c r="J153" s="10">
        <v>56.027899199999815</v>
      </c>
      <c r="K153" s="10">
        <v>45.463745999999958</v>
      </c>
      <c r="L153" s="11">
        <v>159.20000000000002</v>
      </c>
      <c r="M153" s="11">
        <v>524.79999999999995</v>
      </c>
      <c r="N153" s="11">
        <v>7.2136666666666542</v>
      </c>
      <c r="O153" s="11">
        <v>14.567299999999998</v>
      </c>
    </row>
    <row r="154" spans="1:15">
      <c r="A154" s="1" t="s">
        <v>36</v>
      </c>
      <c r="B154" s="1" t="s">
        <v>37</v>
      </c>
      <c r="C154" s="2" t="s">
        <v>15</v>
      </c>
      <c r="D154" s="10">
        <v>5.033721375000014</v>
      </c>
      <c r="E154" s="10">
        <v>15.039988874999999</v>
      </c>
      <c r="F154" s="10">
        <v>1.4994000000000001</v>
      </c>
      <c r="G154" s="10">
        <v>17.504874999999991</v>
      </c>
      <c r="H154" s="10">
        <v>137.11018095238089</v>
      </c>
      <c r="I154" s="10">
        <v>4.6441908333333366</v>
      </c>
      <c r="J154" s="10">
        <v>52.930603199999815</v>
      </c>
      <c r="K154" s="10">
        <v>77.284505999999936</v>
      </c>
      <c r="L154" s="11">
        <v>200.9</v>
      </c>
      <c r="M154" s="11">
        <v>503.8</v>
      </c>
      <c r="N154" s="11">
        <v>5.760166666666664</v>
      </c>
      <c r="O154" s="11">
        <v>13.049199999999997</v>
      </c>
    </row>
    <row r="155" spans="1:15">
      <c r="A155" s="1" t="s">
        <v>36</v>
      </c>
      <c r="B155" s="1" t="s">
        <v>37</v>
      </c>
      <c r="C155" s="2" t="s">
        <v>16</v>
      </c>
      <c r="D155" s="10">
        <v>6.5319783750000138</v>
      </c>
      <c r="E155" s="10">
        <v>15.864244874999999</v>
      </c>
      <c r="F155" s="10">
        <v>1.3559999999999999</v>
      </c>
      <c r="G155" s="10">
        <v>18.254874999999991</v>
      </c>
      <c r="H155" s="10">
        <v>134.30905714285711</v>
      </c>
      <c r="I155" s="10">
        <v>3.8237030333333366</v>
      </c>
      <c r="J155" s="10">
        <v>44.249131199999816</v>
      </c>
      <c r="K155" s="10">
        <v>54.337385999999952</v>
      </c>
      <c r="L155" s="11">
        <v>247.6</v>
      </c>
      <c r="M155" s="11">
        <v>424.8</v>
      </c>
      <c r="N155" s="11">
        <v>4.5327666666666655</v>
      </c>
      <c r="O155" s="11">
        <v>12.596999999999987</v>
      </c>
    </row>
    <row r="156" spans="1:15">
      <c r="A156" s="1" t="s">
        <v>36</v>
      </c>
      <c r="B156" s="1" t="s">
        <v>37</v>
      </c>
      <c r="C156" s="2" t="s">
        <v>18</v>
      </c>
      <c r="D156" s="10">
        <v>5.0938233750000146</v>
      </c>
      <c r="E156" s="10">
        <v>12.133627875</v>
      </c>
      <c r="F156" s="10">
        <v>1.1375999999999999</v>
      </c>
      <c r="G156" s="10">
        <v>11.540874999999989</v>
      </c>
      <c r="H156" s="10">
        <v>106.39440952380949</v>
      </c>
      <c r="I156" s="10">
        <v>2.9180224333333364</v>
      </c>
      <c r="J156" s="10">
        <v>58.639123199999823</v>
      </c>
      <c r="K156" s="10">
        <v>69.513005999999962</v>
      </c>
      <c r="L156" s="11">
        <v>185.1</v>
      </c>
      <c r="M156" s="11">
        <v>450.59999999999997</v>
      </c>
      <c r="N156" s="11">
        <v>4.1451666666666647</v>
      </c>
      <c r="O156" s="11">
        <v>12.596999999999998</v>
      </c>
    </row>
    <row r="157" spans="1:15">
      <c r="A157" s="1" t="s">
        <v>36</v>
      </c>
      <c r="B157" s="1" t="s">
        <v>37</v>
      </c>
      <c r="C157" s="2" t="s">
        <v>19</v>
      </c>
      <c r="D157" s="10">
        <v>6.2271753750000141</v>
      </c>
      <c r="E157" s="10">
        <v>14.7400155</v>
      </c>
      <c r="F157" s="10">
        <v>1.3559999999999999</v>
      </c>
      <c r="G157" s="10">
        <v>20.83487499999999</v>
      </c>
      <c r="H157" s="10">
        <v>114.21823809523808</v>
      </c>
      <c r="I157" s="10">
        <v>3.8561574333333364</v>
      </c>
      <c r="J157" s="10">
        <v>35.01941519999982</v>
      </c>
      <c r="K157" s="10">
        <v>53.546105999999959</v>
      </c>
      <c r="L157" s="11">
        <v>498.90000000000003</v>
      </c>
      <c r="M157" s="11">
        <v>382.8</v>
      </c>
      <c r="N157" s="11">
        <v>3.596066666666665</v>
      </c>
      <c r="O157" s="11">
        <v>12.209399999999988</v>
      </c>
    </row>
    <row r="158" spans="1:15">
      <c r="A158" s="1" t="s">
        <v>36</v>
      </c>
      <c r="B158" s="1" t="s">
        <v>37</v>
      </c>
      <c r="C158" s="2" t="s">
        <v>20</v>
      </c>
      <c r="D158" s="10">
        <v>4.7718483750000136</v>
      </c>
      <c r="E158" s="10">
        <v>14.752357875</v>
      </c>
      <c r="F158" s="10">
        <v>1.1796</v>
      </c>
      <c r="G158" s="10">
        <v>17.66987499999999</v>
      </c>
      <c r="H158" s="10">
        <v>106.1046380952381</v>
      </c>
      <c r="I158" s="10">
        <v>3.2283676333333369</v>
      </c>
      <c r="J158" s="10">
        <v>34.233787199999817</v>
      </c>
      <c r="K158" s="10">
        <v>59.678525999999962</v>
      </c>
      <c r="L158" s="11">
        <v>273.3</v>
      </c>
      <c r="M158" s="11">
        <v>448.40000000000003</v>
      </c>
      <c r="N158" s="11">
        <v>4.468166666666666</v>
      </c>
      <c r="O158" s="11">
        <v>16.666800000000002</v>
      </c>
    </row>
    <row r="159" spans="1:15">
      <c r="A159" s="1" t="s">
        <v>36</v>
      </c>
      <c r="B159" s="1" t="s">
        <v>37</v>
      </c>
      <c r="C159" s="2" t="s">
        <v>22</v>
      </c>
      <c r="D159" s="10">
        <v>4.956447375000014</v>
      </c>
      <c r="E159" s="10">
        <v>15.052867874999997</v>
      </c>
      <c r="F159" s="10">
        <v>1.113</v>
      </c>
      <c r="G159" s="10">
        <v>18.890874999999991</v>
      </c>
      <c r="H159" s="10">
        <v>95.383095238095223</v>
      </c>
      <c r="I159" s="10">
        <v>3.1350612333333365</v>
      </c>
      <c r="J159" s="10">
        <v>59.000851199999801</v>
      </c>
      <c r="K159" s="10">
        <v>57.672065999999951</v>
      </c>
      <c r="L159" s="11">
        <v>161.19999999999999</v>
      </c>
      <c r="M159" s="11">
        <v>442.20000000000005</v>
      </c>
      <c r="N159" s="11">
        <v>4.8234666666666657</v>
      </c>
      <c r="O159" s="11">
        <v>12.177099999999998</v>
      </c>
    </row>
    <row r="160" spans="1:15">
      <c r="A160" s="1" t="s">
        <v>36</v>
      </c>
      <c r="B160" s="1" t="s">
        <v>37</v>
      </c>
      <c r="C160" s="2" t="s">
        <v>23</v>
      </c>
      <c r="D160" s="10">
        <v>4.8620013750000144</v>
      </c>
      <c r="E160" s="10">
        <v>17.268055874999998</v>
      </c>
      <c r="F160" s="10">
        <v>1.2245999999999999</v>
      </c>
      <c r="G160" s="10">
        <v>17.588874999999991</v>
      </c>
      <c r="H160" s="10">
        <v>96.155819047619019</v>
      </c>
      <c r="I160" s="10">
        <v>3.0873938333333366</v>
      </c>
      <c r="J160" s="10">
        <v>23.489335199999985</v>
      </c>
      <c r="K160" s="10">
        <v>72.607475999999949</v>
      </c>
      <c r="L160" s="11">
        <v>201.2</v>
      </c>
      <c r="M160" s="11">
        <v>457</v>
      </c>
      <c r="N160" s="11">
        <v>4.2097666666666651</v>
      </c>
      <c r="O160" s="11">
        <v>16.699099999999998</v>
      </c>
    </row>
    <row r="161" spans="1:15">
      <c r="A161" s="1" t="s">
        <v>36</v>
      </c>
      <c r="B161" s="1" t="s">
        <v>37</v>
      </c>
      <c r="C161" s="2" t="s">
        <v>24</v>
      </c>
      <c r="D161" s="10">
        <v>5.6647923750000144</v>
      </c>
      <c r="E161" s="10">
        <v>13.228342874999999</v>
      </c>
      <c r="F161" s="10">
        <v>1.0872000000000002</v>
      </c>
      <c r="G161" s="10">
        <v>14.639874999999991</v>
      </c>
      <c r="H161" s="10">
        <v>72.974104761904741</v>
      </c>
      <c r="I161" s="10">
        <v>3.2506800333333365</v>
      </c>
      <c r="J161" s="10">
        <v>40.69967519999981</v>
      </c>
      <c r="K161" s="10">
        <v>73.37049599999996</v>
      </c>
      <c r="L161" s="11">
        <v>185</v>
      </c>
      <c r="M161" s="11">
        <v>490.50000000000006</v>
      </c>
      <c r="N161" s="11">
        <v>4.2097666666666651</v>
      </c>
      <c r="O161" s="11">
        <v>16.214599999999997</v>
      </c>
    </row>
    <row r="162" spans="1:15">
      <c r="A162" s="1" t="s">
        <v>36</v>
      </c>
      <c r="B162" s="1" t="s">
        <v>37</v>
      </c>
      <c r="C162" s="2" t="s">
        <v>26</v>
      </c>
      <c r="D162" s="10">
        <v>4.866294375000014</v>
      </c>
      <c r="E162" s="10">
        <v>11.154823875</v>
      </c>
      <c r="F162" s="10">
        <v>1.2731999999999999</v>
      </c>
      <c r="G162" s="10">
        <v>12.845874999999991</v>
      </c>
      <c r="H162" s="10">
        <v>143.77492380952381</v>
      </c>
      <c r="I162" s="10">
        <v>3.1492600333333365</v>
      </c>
      <c r="J162" s="10">
        <v>31.763863199999815</v>
      </c>
      <c r="K162" s="10">
        <v>97.688225999999943</v>
      </c>
      <c r="L162" s="11">
        <v>179.2</v>
      </c>
      <c r="M162" s="11">
        <v>427.59999999999997</v>
      </c>
      <c r="N162" s="11">
        <v>4.3389666666666651</v>
      </c>
      <c r="O162" s="11">
        <v>13.307599999999999</v>
      </c>
    </row>
    <row r="163" spans="1:15">
      <c r="A163" s="1" t="s">
        <v>36</v>
      </c>
      <c r="B163" s="1" t="s">
        <v>37</v>
      </c>
      <c r="C163" s="2" t="s">
        <v>27</v>
      </c>
      <c r="D163" s="10">
        <v>6.0425763750000137</v>
      </c>
      <c r="E163" s="10">
        <v>13.095259874999998</v>
      </c>
      <c r="F163" s="10">
        <v>1.0986</v>
      </c>
      <c r="G163" s="10">
        <v>11.438874999999989</v>
      </c>
      <c r="H163" s="10">
        <v>67.275266666666667</v>
      </c>
      <c r="I163" s="10">
        <v>4.6644748333333368</v>
      </c>
      <c r="J163" s="10">
        <v>27.587035199999988</v>
      </c>
      <c r="K163" s="10">
        <v>84.928835999999947</v>
      </c>
      <c r="L163" s="11">
        <v>173.70000000000002</v>
      </c>
      <c r="M163" s="11">
        <v>441.5</v>
      </c>
      <c r="N163" s="11">
        <v>6.0185666666666657</v>
      </c>
      <c r="O163" s="11">
        <v>15.439399999999997</v>
      </c>
    </row>
    <row r="164" spans="1:15">
      <c r="A164" s="1" t="s">
        <v>36</v>
      </c>
      <c r="B164" s="1" t="s">
        <v>38</v>
      </c>
      <c r="C164" s="2" t="s">
        <v>4</v>
      </c>
      <c r="D164" s="10">
        <v>6.6736473750000131</v>
      </c>
      <c r="E164" s="10">
        <v>10.918708874999998</v>
      </c>
      <c r="F164" s="10">
        <v>1.077</v>
      </c>
      <c r="G164" s="10">
        <v>11.063874999999991</v>
      </c>
      <c r="H164" s="10">
        <v>107.00614920634889</v>
      </c>
      <c r="I164" s="10">
        <v>3.3974009666666629</v>
      </c>
      <c r="J164" s="10">
        <v>29.845009199999982</v>
      </c>
      <c r="K164" s="10">
        <v>37.652210999999994</v>
      </c>
      <c r="L164" s="11">
        <v>70</v>
      </c>
      <c r="M164" s="11">
        <v>26.479999999999997</v>
      </c>
      <c r="N164" s="11">
        <v>3.8867666666666647</v>
      </c>
      <c r="O164" s="11">
        <v>18.525395833333345</v>
      </c>
    </row>
    <row r="165" spans="1:15">
      <c r="A165" s="1" t="s">
        <v>36</v>
      </c>
      <c r="B165" s="1" t="s">
        <v>38</v>
      </c>
      <c r="C165" s="2" t="s">
        <v>6</v>
      </c>
      <c r="D165" s="10">
        <v>7.7726553750000145</v>
      </c>
      <c r="E165" s="10">
        <v>13.588954874999997</v>
      </c>
      <c r="F165" s="10">
        <v>0.84479999999999988</v>
      </c>
      <c r="G165" s="10">
        <v>14.117874999999987</v>
      </c>
      <c r="H165" s="10">
        <v>42.966663492063176</v>
      </c>
      <c r="I165" s="10">
        <v>5.5556185666666629</v>
      </c>
      <c r="J165" s="10">
        <v>27.810289199999989</v>
      </c>
      <c r="K165" s="10">
        <v>59.454801000000003</v>
      </c>
      <c r="L165" s="11">
        <v>181.2</v>
      </c>
      <c r="M165" s="11">
        <v>74.64</v>
      </c>
      <c r="N165" s="11">
        <v>7.6012666666666648</v>
      </c>
      <c r="O165" s="11">
        <v>18.622295833333339</v>
      </c>
    </row>
    <row r="166" spans="1:15">
      <c r="A166" s="1" t="s">
        <v>36</v>
      </c>
      <c r="B166" s="1" t="s">
        <v>38</v>
      </c>
      <c r="C166" s="2" t="s">
        <v>7</v>
      </c>
      <c r="D166" s="10">
        <v>7.1029473750000136</v>
      </c>
      <c r="E166" s="10">
        <v>10.004299874999999</v>
      </c>
      <c r="F166" s="10">
        <v>1.1652</v>
      </c>
      <c r="G166" s="10">
        <v>12.056874999999989</v>
      </c>
      <c r="H166" s="10">
        <v>135.79011111111078</v>
      </c>
      <c r="I166" s="10">
        <v>3.4257985666666628</v>
      </c>
      <c r="J166" s="10">
        <v>17.031925199999982</v>
      </c>
      <c r="K166" s="10">
        <v>46.469331000000004</v>
      </c>
      <c r="L166" s="11">
        <v>208.8</v>
      </c>
      <c r="M166" s="11">
        <v>40.779999999999994</v>
      </c>
      <c r="N166" s="11">
        <v>9.3454666666666633</v>
      </c>
      <c r="O166" s="11">
        <v>17.75019583333334</v>
      </c>
    </row>
    <row r="167" spans="1:15">
      <c r="A167" s="1" t="s">
        <v>36</v>
      </c>
      <c r="B167" s="1" t="s">
        <v>38</v>
      </c>
      <c r="C167" s="2" t="s">
        <v>8</v>
      </c>
      <c r="D167" s="10">
        <v>6.1670733750000135</v>
      </c>
      <c r="E167" s="10">
        <v>7.8148698749999994</v>
      </c>
      <c r="F167" s="10">
        <v>0.90900000000000003</v>
      </c>
      <c r="G167" s="10">
        <v>7.6438749999999906</v>
      </c>
      <c r="H167" s="10">
        <v>107.29592063492029</v>
      </c>
      <c r="I167" s="10">
        <v>4.2756981666666638</v>
      </c>
      <c r="J167" s="10">
        <v>25.911217199999982</v>
      </c>
      <c r="K167" s="10">
        <v>38.627181000000007</v>
      </c>
      <c r="L167" s="11">
        <v>223</v>
      </c>
      <c r="M167" s="11">
        <v>55.320000000000007</v>
      </c>
      <c r="N167" s="11">
        <v>5.2756666666666652</v>
      </c>
      <c r="O167" s="11">
        <v>19.268295833333344</v>
      </c>
    </row>
    <row r="168" spans="1:15">
      <c r="A168" s="1" t="s">
        <v>36</v>
      </c>
      <c r="B168" s="1" t="s">
        <v>38</v>
      </c>
      <c r="C168" s="2" t="s">
        <v>10</v>
      </c>
      <c r="D168" s="10">
        <v>7.3991643750000122</v>
      </c>
      <c r="E168" s="10">
        <v>9.2744898750000004</v>
      </c>
      <c r="F168" s="10">
        <v>1.2582</v>
      </c>
      <c r="G168" s="10">
        <v>8.2558749999999907</v>
      </c>
      <c r="H168" s="10">
        <v>131.44353968253932</v>
      </c>
      <c r="I168" s="10">
        <v>2.2047017666666631</v>
      </c>
      <c r="J168" s="10">
        <v>30.726721199999982</v>
      </c>
      <c r="K168" s="10">
        <v>58.734171000000003</v>
      </c>
      <c r="L168" s="11">
        <v>190.70000000000005</v>
      </c>
      <c r="M168" s="11">
        <v>162.04000000000002</v>
      </c>
      <c r="N168" s="11">
        <v>5.6955666666666644</v>
      </c>
      <c r="O168" s="11">
        <v>16.199795833333344</v>
      </c>
    </row>
    <row r="169" spans="1:15">
      <c r="A169" s="1" t="s">
        <v>36</v>
      </c>
      <c r="B169" s="1" t="s">
        <v>38</v>
      </c>
      <c r="C169" s="2" t="s">
        <v>11</v>
      </c>
      <c r="D169" s="10">
        <v>6.6736473750000131</v>
      </c>
      <c r="E169" s="10">
        <v>8.0123478749999997</v>
      </c>
      <c r="F169" s="10">
        <v>0.87959999999999983</v>
      </c>
      <c r="G169" s="10">
        <v>7.6408749999999896</v>
      </c>
      <c r="H169" s="10">
        <v>78.705139682539354</v>
      </c>
      <c r="I169" s="10">
        <v>3.2594697666666632</v>
      </c>
      <c r="J169" s="10">
        <v>39.419497199999817</v>
      </c>
      <c r="K169" s="10">
        <v>82.500831000000005</v>
      </c>
      <c r="L169" s="11">
        <v>200.90000000000003</v>
      </c>
      <c r="M169" s="11">
        <v>69.42</v>
      </c>
      <c r="N169" s="11">
        <v>5.1787666666666565</v>
      </c>
      <c r="O169" s="11">
        <v>13.292795833333333</v>
      </c>
    </row>
    <row r="170" spans="1:15">
      <c r="A170" s="1" t="s">
        <v>36</v>
      </c>
      <c r="B170" s="1" t="s">
        <v>38</v>
      </c>
      <c r="C170" s="2" t="s">
        <v>12</v>
      </c>
      <c r="D170" s="10">
        <v>6.0468693750000133</v>
      </c>
      <c r="E170" s="10">
        <v>9.7338408749999985</v>
      </c>
      <c r="F170" s="10">
        <v>0.82619999999999993</v>
      </c>
      <c r="G170" s="10">
        <v>11.627874999999992</v>
      </c>
      <c r="H170" s="10">
        <v>63.540434920634588</v>
      </c>
      <c r="I170" s="10">
        <v>6.860893966666664</v>
      </c>
      <c r="J170" s="10">
        <v>31.715821199999809</v>
      </c>
      <c r="K170" s="10">
        <v>51.174621000000009</v>
      </c>
      <c r="L170" s="11">
        <v>231.89999999999998</v>
      </c>
      <c r="M170" s="11">
        <v>61.160000000000004</v>
      </c>
      <c r="N170" s="11">
        <v>6.3738666666666539</v>
      </c>
      <c r="O170" s="11">
        <v>19.235995833333341</v>
      </c>
    </row>
    <row r="171" spans="1:15">
      <c r="A171" s="1" t="s">
        <v>36</v>
      </c>
      <c r="B171" s="1" t="s">
        <v>38</v>
      </c>
      <c r="C171" s="2" t="s">
        <v>14</v>
      </c>
      <c r="D171" s="10">
        <v>5.3428173750000143</v>
      </c>
      <c r="E171" s="10">
        <v>12.077818874999998</v>
      </c>
      <c r="F171" s="10">
        <v>1.1754</v>
      </c>
      <c r="G171" s="10">
        <v>12.737874999999992</v>
      </c>
      <c r="H171" s="10">
        <v>119.56291111111075</v>
      </c>
      <c r="I171" s="10">
        <v>3.4592671666666632</v>
      </c>
      <c r="J171" s="10">
        <v>25.091677199999985</v>
      </c>
      <c r="K171" s="10">
        <v>52.050680999999997</v>
      </c>
      <c r="L171" s="11">
        <v>167.9</v>
      </c>
      <c r="M171" s="11">
        <v>34.42</v>
      </c>
      <c r="N171" s="11">
        <v>4.9203666666666646</v>
      </c>
      <c r="O171" s="11">
        <v>16.910395833333343</v>
      </c>
    </row>
    <row r="172" spans="1:15">
      <c r="A172" s="1" t="s">
        <v>36</v>
      </c>
      <c r="B172" s="1" t="s">
        <v>38</v>
      </c>
      <c r="C172" s="2" t="s">
        <v>15</v>
      </c>
      <c r="D172" s="10">
        <v>6.2701053750000133</v>
      </c>
      <c r="E172" s="10">
        <v>20.273155875</v>
      </c>
      <c r="F172" s="10">
        <v>1.347</v>
      </c>
      <c r="G172" s="10">
        <v>11.38487499999999</v>
      </c>
      <c r="H172" s="10">
        <v>151.14799682539652</v>
      </c>
      <c r="I172" s="10">
        <v>3.4186991666666633</v>
      </c>
      <c r="J172" s="10">
        <v>47.970973199999818</v>
      </c>
      <c r="K172" s="10">
        <v>78.68573099999999</v>
      </c>
      <c r="L172" s="11">
        <v>221.6</v>
      </c>
      <c r="M172" s="11">
        <v>48.96</v>
      </c>
      <c r="N172" s="11">
        <v>7.8596666666666541</v>
      </c>
      <c r="O172" s="11">
        <v>14.035695833333332</v>
      </c>
    </row>
    <row r="173" spans="1:15">
      <c r="A173" s="1" t="s">
        <v>36</v>
      </c>
      <c r="B173" s="1" t="s">
        <v>38</v>
      </c>
      <c r="C173" s="2" t="s">
        <v>16</v>
      </c>
      <c r="D173" s="10">
        <v>7.6481583750000137</v>
      </c>
      <c r="E173" s="10">
        <v>7.1279898749999981</v>
      </c>
      <c r="F173" s="10">
        <v>1.2755999999999998</v>
      </c>
      <c r="G173" s="10">
        <v>9.5758636363636498</v>
      </c>
      <c r="H173" s="10">
        <v>111.35272063492032</v>
      </c>
      <c r="I173" s="10">
        <v>3.5606871666666633</v>
      </c>
      <c r="J173" s="10">
        <v>39.826441199999813</v>
      </c>
      <c r="K173" s="10">
        <v>37.496780999999999</v>
      </c>
      <c r="L173" s="11">
        <v>253.39999999999995</v>
      </c>
      <c r="M173" s="11">
        <v>44.92</v>
      </c>
      <c r="N173" s="11">
        <v>4.9203666666666654</v>
      </c>
      <c r="O173" s="11">
        <v>15.553795833333341</v>
      </c>
    </row>
    <row r="174" spans="1:15">
      <c r="A174" s="1" t="s">
        <v>36</v>
      </c>
      <c r="B174" s="1" t="s">
        <v>38</v>
      </c>
      <c r="C174" s="2" t="s">
        <v>18</v>
      </c>
      <c r="D174" s="10">
        <v>7.0728963750000133</v>
      </c>
      <c r="E174" s="10">
        <v>8.7936738749999996</v>
      </c>
      <c r="F174" s="10">
        <v>1.2605999999999999</v>
      </c>
      <c r="G174" s="10">
        <v>8.0908749999999898</v>
      </c>
      <c r="H174" s="10">
        <v>132.11967301587268</v>
      </c>
      <c r="I174" s="10">
        <v>3.253384566666663</v>
      </c>
      <c r="J174" s="10">
        <v>69.171625199999824</v>
      </c>
      <c r="K174" s="10">
        <v>72.864170999999999</v>
      </c>
      <c r="L174" s="11">
        <v>241.1</v>
      </c>
      <c r="M174" s="11">
        <v>147.6</v>
      </c>
      <c r="N174" s="11">
        <v>6.3738666666666539</v>
      </c>
      <c r="O174" s="11">
        <v>15.198495833333343</v>
      </c>
    </row>
    <row r="175" spans="1:15">
      <c r="A175" s="1" t="s">
        <v>36</v>
      </c>
      <c r="B175" s="1" t="s">
        <v>38</v>
      </c>
      <c r="C175" s="2" t="s">
        <v>19</v>
      </c>
      <c r="D175" s="10">
        <v>7.5837633750000135</v>
      </c>
      <c r="E175" s="10">
        <v>9.4719678749999972</v>
      </c>
      <c r="F175" s="10">
        <v>1.0169999999999999</v>
      </c>
      <c r="G175" s="10">
        <v>8.9218749999999911</v>
      </c>
      <c r="H175" s="10">
        <v>96.477787301586972</v>
      </c>
      <c r="I175" s="10">
        <v>3.4592671666666632</v>
      </c>
      <c r="J175" s="10">
        <v>30.890629199999985</v>
      </c>
      <c r="K175" s="10">
        <v>54.410391000000011</v>
      </c>
      <c r="L175" s="11">
        <v>216.90000000000003</v>
      </c>
      <c r="M175" s="11">
        <v>37.14</v>
      </c>
      <c r="N175" s="11">
        <v>5.5986666666666647</v>
      </c>
      <c r="O175" s="11">
        <v>19.042195833333341</v>
      </c>
    </row>
    <row r="176" spans="1:15">
      <c r="A176" s="1" t="s">
        <v>36</v>
      </c>
      <c r="B176" s="1" t="s">
        <v>38</v>
      </c>
      <c r="C176" s="2" t="s">
        <v>20</v>
      </c>
      <c r="D176" s="10">
        <v>6.0039393750000132</v>
      </c>
      <c r="E176" s="10">
        <v>8.7121068749999999</v>
      </c>
      <c r="F176" s="10">
        <v>0.83039999999999992</v>
      </c>
      <c r="G176" s="10">
        <v>8.5048749999999895</v>
      </c>
      <c r="H176" s="10">
        <v>99.858453968253613</v>
      </c>
      <c r="I176" s="10">
        <v>5.0272203666666622</v>
      </c>
      <c r="J176" s="10">
        <v>27.78768119999998</v>
      </c>
      <c r="K176" s="10">
        <v>34.049060999999995</v>
      </c>
      <c r="L176" s="11">
        <v>206.50000000000003</v>
      </c>
      <c r="M176" s="11">
        <v>48.6</v>
      </c>
      <c r="N176" s="11">
        <v>4.1451666666666647</v>
      </c>
      <c r="O176" s="11">
        <v>10.288895833333333</v>
      </c>
    </row>
    <row r="177" spans="1:15">
      <c r="A177" s="1" t="s">
        <v>36</v>
      </c>
      <c r="B177" s="1" t="s">
        <v>38</v>
      </c>
      <c r="C177" s="2" t="s">
        <v>22</v>
      </c>
      <c r="D177" s="10">
        <v>6.4632903750000139</v>
      </c>
      <c r="E177" s="10">
        <v>11.296492875</v>
      </c>
      <c r="F177" s="10">
        <v>1.2347999999999999</v>
      </c>
      <c r="G177" s="10">
        <v>9.2068749999999913</v>
      </c>
      <c r="H177" s="10">
        <v>169.88654920634889</v>
      </c>
      <c r="I177" s="10">
        <v>3.0546013666666632</v>
      </c>
      <c r="J177" s="10">
        <v>51.396085199999817</v>
      </c>
      <c r="K177" s="10">
        <v>66.180680999999979</v>
      </c>
      <c r="L177" s="11">
        <v>230.4</v>
      </c>
      <c r="M177" s="11">
        <v>44.92</v>
      </c>
      <c r="N177" s="11">
        <v>6.5999666666666643</v>
      </c>
      <c r="O177" s="11">
        <v>13.648095833333334</v>
      </c>
    </row>
    <row r="178" spans="1:15">
      <c r="A178" s="1" t="s">
        <v>36</v>
      </c>
      <c r="B178" s="1" t="s">
        <v>38</v>
      </c>
      <c r="C178" s="2" t="s">
        <v>23</v>
      </c>
      <c r="D178" s="10">
        <v>5.3900403750000141</v>
      </c>
      <c r="E178" s="10">
        <v>20.195881874999998</v>
      </c>
      <c r="F178" s="10">
        <v>0.9071999999999999</v>
      </c>
      <c r="G178" s="10">
        <v>9.3838749999999909</v>
      </c>
      <c r="H178" s="10">
        <v>101.30731111111076</v>
      </c>
      <c r="I178" s="10">
        <v>2.4947629666666629</v>
      </c>
      <c r="J178" s="10">
        <v>15.14980919999998</v>
      </c>
      <c r="K178" s="10">
        <v>39.460851000000005</v>
      </c>
      <c r="L178" s="11">
        <v>186.5</v>
      </c>
      <c r="M178" s="11">
        <v>30.28</v>
      </c>
      <c r="N178" s="11">
        <v>6.5030666666666548</v>
      </c>
      <c r="O178" s="11">
        <v>16.587395833333343</v>
      </c>
    </row>
    <row r="179" spans="1:15">
      <c r="A179" s="1" t="s">
        <v>36</v>
      </c>
      <c r="B179" s="1" t="s">
        <v>38</v>
      </c>
      <c r="C179" s="2" t="s">
        <v>24</v>
      </c>
      <c r="D179" s="10">
        <v>6.7981443750000148</v>
      </c>
      <c r="E179" s="10">
        <v>7.4886018750000005</v>
      </c>
      <c r="F179" s="10">
        <v>1.0025999999999999</v>
      </c>
      <c r="G179" s="10">
        <v>7.0978749999999895</v>
      </c>
      <c r="H179" s="10">
        <v>103.04593968253933</v>
      </c>
      <c r="I179" s="10">
        <v>2.5921261666666631</v>
      </c>
      <c r="J179" s="10">
        <v>30.336733199999983</v>
      </c>
      <c r="K179" s="10">
        <v>60.825411000000003</v>
      </c>
      <c r="L179" s="11">
        <v>208.40000000000003</v>
      </c>
      <c r="M179" s="11">
        <v>164.1</v>
      </c>
      <c r="N179" s="11">
        <v>4.5973666666666642</v>
      </c>
      <c r="O179" s="11">
        <v>18.848395833333338</v>
      </c>
    </row>
    <row r="180" spans="1:15">
      <c r="A180" s="1" t="s">
        <v>36</v>
      </c>
      <c r="B180" s="1" t="s">
        <v>38</v>
      </c>
      <c r="C180" s="2" t="s">
        <v>26</v>
      </c>
      <c r="D180" s="10">
        <v>6.0597483750000141</v>
      </c>
      <c r="E180" s="10">
        <v>12.683131874999997</v>
      </c>
      <c r="F180" s="10">
        <v>1.0404</v>
      </c>
      <c r="G180" s="10">
        <v>9.5248749999999927</v>
      </c>
      <c r="H180" s="10">
        <v>96.18801587301553</v>
      </c>
      <c r="I180" s="10">
        <v>6.0556191666666637</v>
      </c>
      <c r="J180" s="10">
        <v>21.570481199999982</v>
      </c>
      <c r="K180" s="10">
        <v>80.90414100000001</v>
      </c>
      <c r="L180" s="11">
        <v>209.1</v>
      </c>
      <c r="M180" s="11">
        <v>41.42</v>
      </c>
      <c r="N180" s="11">
        <v>4.984966666666665</v>
      </c>
      <c r="O180" s="11">
        <v>18.008595833333342</v>
      </c>
    </row>
    <row r="181" spans="1:15">
      <c r="A181" s="1" t="s">
        <v>36</v>
      </c>
      <c r="B181" s="1" t="s">
        <v>38</v>
      </c>
      <c r="C181" s="2" t="s">
        <v>27</v>
      </c>
      <c r="D181" s="10">
        <v>7.9658403750000133</v>
      </c>
      <c r="E181" s="10">
        <v>12.614443874999997</v>
      </c>
      <c r="F181" s="10">
        <v>1.3241999999999998</v>
      </c>
      <c r="G181" s="10">
        <v>12.890874999999991</v>
      </c>
      <c r="H181" s="10">
        <v>146.02870158730127</v>
      </c>
      <c r="I181" s="10">
        <v>7.1438557666666629</v>
      </c>
      <c r="J181" s="10">
        <v>28.262449199999978</v>
      </c>
      <c r="K181" s="10">
        <v>63.312290999999995</v>
      </c>
      <c r="L181" s="11">
        <v>215.89999999999998</v>
      </c>
      <c r="M181" s="11">
        <v>25.840000000000003</v>
      </c>
      <c r="N181" s="11">
        <v>5.6309666666666551</v>
      </c>
      <c r="O181" s="11">
        <v>15.295395833333334</v>
      </c>
    </row>
    <row r="182" spans="1:15">
      <c r="A182" s="1" t="s">
        <v>36</v>
      </c>
      <c r="B182" s="1" t="s">
        <v>39</v>
      </c>
      <c r="C182" s="2" t="s">
        <v>4</v>
      </c>
      <c r="D182" s="10">
        <v>4.8720183749999997</v>
      </c>
      <c r="E182" s="10">
        <v>10.635549750000013</v>
      </c>
      <c r="F182" s="10">
        <v>1.2592999999999981</v>
      </c>
      <c r="G182" s="10">
        <v>11.377625000000011</v>
      </c>
      <c r="H182" s="10">
        <v>115.28073333333333</v>
      </c>
      <c r="I182" s="10">
        <v>3.2545677999999998</v>
      </c>
      <c r="J182" s="10">
        <v>31.753501199999995</v>
      </c>
      <c r="K182" s="10">
        <v>56.374460999999997</v>
      </c>
      <c r="L182" s="11">
        <v>188.1</v>
      </c>
      <c r="M182" s="11">
        <v>15.1</v>
      </c>
      <c r="N182" s="11">
        <v>5.4856166666666528</v>
      </c>
      <c r="O182" s="11">
        <v>8.8488541666666745</v>
      </c>
    </row>
    <row r="183" spans="1:15">
      <c r="A183" s="1" t="s">
        <v>36</v>
      </c>
      <c r="B183" s="1" t="s">
        <v>39</v>
      </c>
      <c r="C183" s="2" t="s">
        <v>6</v>
      </c>
      <c r="D183" s="10">
        <v>4.2237753749999998</v>
      </c>
      <c r="E183" s="10">
        <v>13.846713750000013</v>
      </c>
      <c r="F183" s="10">
        <v>1.3462999999999978</v>
      </c>
      <c r="G183" s="10">
        <v>14.803625000000009</v>
      </c>
      <c r="H183" s="10">
        <v>152.37147619047619</v>
      </c>
      <c r="I183" s="10">
        <v>7.3651204000000003</v>
      </c>
      <c r="J183" s="10">
        <v>47.27389320000001</v>
      </c>
      <c r="K183" s="10">
        <v>42.527060999999996</v>
      </c>
      <c r="L183" s="11">
        <v>179.70000000000002</v>
      </c>
      <c r="M183" s="11">
        <v>54.160000000000004</v>
      </c>
      <c r="N183" s="11">
        <v>5.8732166666666528</v>
      </c>
      <c r="O183" s="11">
        <v>5.0697541666666766</v>
      </c>
    </row>
    <row r="184" spans="1:15">
      <c r="A184" s="1" t="s">
        <v>36</v>
      </c>
      <c r="B184" s="1" t="s">
        <v>39</v>
      </c>
      <c r="C184" s="2" t="s">
        <v>7</v>
      </c>
      <c r="D184" s="10">
        <v>4.6745403750000003</v>
      </c>
      <c r="E184" s="10">
        <v>13.228521750000013</v>
      </c>
      <c r="F184" s="10">
        <v>1.0714999999999979</v>
      </c>
      <c r="G184" s="10">
        <v>16.321625000000012</v>
      </c>
      <c r="H184" s="10">
        <v>109.77507619047617</v>
      </c>
      <c r="I184" s="10">
        <v>4.4016279999999997</v>
      </c>
      <c r="J184" s="10">
        <v>49.709905200000001</v>
      </c>
      <c r="K184" s="10">
        <v>69.345801000000009</v>
      </c>
      <c r="L184" s="11">
        <v>241.10000000000002</v>
      </c>
      <c r="M184" s="11">
        <v>271.84000000000003</v>
      </c>
      <c r="N184" s="11">
        <v>9.2324166666666514</v>
      </c>
      <c r="O184" s="11">
        <v>10.043954166666676</v>
      </c>
    </row>
    <row r="185" spans="1:15">
      <c r="A185" s="1" t="s">
        <v>36</v>
      </c>
      <c r="B185" s="1" t="s">
        <v>39</v>
      </c>
      <c r="C185" s="2" t="s">
        <v>8</v>
      </c>
      <c r="D185" s="10">
        <v>6.4346703749999996</v>
      </c>
      <c r="E185" s="10">
        <v>12.241131750000013</v>
      </c>
      <c r="F185" s="10">
        <v>1.405099999999998</v>
      </c>
      <c r="G185" s="10">
        <v>8.1856250000000106</v>
      </c>
      <c r="H185" s="10">
        <v>117.40572380952379</v>
      </c>
      <c r="I185" s="10">
        <v>6.9340854000000007</v>
      </c>
      <c r="J185" s="10">
        <v>42.848377200000002</v>
      </c>
      <c r="K185" s="10">
        <v>56.459241000000006</v>
      </c>
      <c r="L185" s="11">
        <v>153.00000000000003</v>
      </c>
      <c r="M185" s="11">
        <v>84.679999999999993</v>
      </c>
      <c r="N185" s="11">
        <v>9.8784166666666504</v>
      </c>
      <c r="O185" s="11">
        <v>5.3927541666666752</v>
      </c>
    </row>
    <row r="186" spans="1:15">
      <c r="A186" s="1" t="s">
        <v>36</v>
      </c>
      <c r="B186" s="1" t="s">
        <v>39</v>
      </c>
      <c r="C186" s="2" t="s">
        <v>10</v>
      </c>
      <c r="D186" s="10">
        <v>5.3914713749999992</v>
      </c>
      <c r="E186" s="10">
        <v>12.382800750000014</v>
      </c>
      <c r="F186" s="10">
        <v>1.726099999999998</v>
      </c>
      <c r="G186" s="10">
        <v>15.628625000000012</v>
      </c>
      <c r="H186" s="10">
        <v>171.49639047619044</v>
      </c>
      <c r="I186" s="10">
        <v>4.6764761999999997</v>
      </c>
      <c r="J186" s="10">
        <v>37.868965200000005</v>
      </c>
      <c r="K186" s="10">
        <v>43.968320999999996</v>
      </c>
      <c r="L186" s="11">
        <v>53.8</v>
      </c>
      <c r="M186" s="11">
        <v>57.660000000000004</v>
      </c>
      <c r="N186" s="11">
        <v>9.2001166666666521</v>
      </c>
      <c r="O186" s="11">
        <v>8.0736541666666763</v>
      </c>
    </row>
    <row r="187" spans="1:15">
      <c r="A187" s="1" t="s">
        <v>36</v>
      </c>
      <c r="B187" s="1" t="s">
        <v>39</v>
      </c>
      <c r="C187" s="2" t="s">
        <v>11</v>
      </c>
      <c r="D187" s="10">
        <v>4.9535853749999994</v>
      </c>
      <c r="E187" s="10">
        <v>13.902522750000012</v>
      </c>
      <c r="F187" s="10">
        <v>1.3660999999999979</v>
      </c>
      <c r="G187" s="10">
        <v>15.538625000000012</v>
      </c>
      <c r="H187" s="10">
        <v>102.72397142857142</v>
      </c>
      <c r="I187" s="10">
        <v>4.6612631999999987</v>
      </c>
      <c r="J187" s="10">
        <v>42.175789200000004</v>
      </c>
      <c r="K187" s="10">
        <v>36.394641</v>
      </c>
      <c r="L187" s="11">
        <v>168.20000000000002</v>
      </c>
      <c r="M187" s="11">
        <v>43.74</v>
      </c>
      <c r="N187" s="11">
        <v>6.9714166666666522</v>
      </c>
      <c r="O187" s="11">
        <v>8.9457541666666742</v>
      </c>
    </row>
    <row r="188" spans="1:15">
      <c r="A188" s="1" t="s">
        <v>36</v>
      </c>
      <c r="B188" s="1" t="s">
        <v>39</v>
      </c>
      <c r="C188" s="2" t="s">
        <v>12</v>
      </c>
      <c r="D188" s="10">
        <v>5.0394453749999997</v>
      </c>
      <c r="E188" s="10">
        <v>13.932573750000016</v>
      </c>
      <c r="F188" s="10">
        <v>1.370899999999998</v>
      </c>
      <c r="G188" s="10">
        <v>13.483625000000011</v>
      </c>
      <c r="H188" s="10">
        <v>131.89429523809522</v>
      </c>
      <c r="I188" s="10">
        <v>5.6490939999999998</v>
      </c>
      <c r="J188" s="10">
        <v>25.773685200000003</v>
      </c>
      <c r="K188" s="10">
        <v>61.616691000000003</v>
      </c>
      <c r="L188" s="11">
        <v>263</v>
      </c>
      <c r="M188" s="11">
        <v>22.580000000000002</v>
      </c>
      <c r="N188" s="11">
        <v>7.6497166666666514</v>
      </c>
      <c r="O188" s="11">
        <v>12.272654166666676</v>
      </c>
    </row>
    <row r="189" spans="1:15">
      <c r="A189" s="1" t="s">
        <v>36</v>
      </c>
      <c r="B189" s="1" t="s">
        <v>39</v>
      </c>
      <c r="C189" s="2" t="s">
        <v>14</v>
      </c>
      <c r="D189" s="10">
        <v>6.6407343749999983</v>
      </c>
      <c r="E189" s="10">
        <v>9.1630507500000142</v>
      </c>
      <c r="F189" s="10">
        <v>1.4788999999999981</v>
      </c>
      <c r="G189" s="10">
        <v>9.4756250000000097</v>
      </c>
      <c r="H189" s="10">
        <v>130.15566666666666</v>
      </c>
      <c r="I189" s="10">
        <v>3.4411806</v>
      </c>
      <c r="J189" s="10">
        <v>34.093429200000003</v>
      </c>
      <c r="K189" s="10">
        <v>74.644551000000007</v>
      </c>
      <c r="L189" s="11">
        <v>161.89999999999998</v>
      </c>
      <c r="M189" s="11">
        <v>560.1</v>
      </c>
      <c r="N189" s="11">
        <v>7.2621166666666515</v>
      </c>
      <c r="O189" s="11">
        <v>13.726154166666676</v>
      </c>
    </row>
    <row r="190" spans="1:15">
      <c r="A190" s="1" t="s">
        <v>36</v>
      </c>
      <c r="B190" s="1" t="s">
        <v>39</v>
      </c>
      <c r="C190" s="2" t="s">
        <v>15</v>
      </c>
      <c r="D190" s="10">
        <v>5.2626813749999997</v>
      </c>
      <c r="E190" s="10">
        <v>11.532786750000016</v>
      </c>
      <c r="F190" s="10">
        <v>1.0672999999999979</v>
      </c>
      <c r="G190" s="10">
        <v>14.25162500000001</v>
      </c>
      <c r="H190" s="10">
        <v>115.37732380952379</v>
      </c>
      <c r="I190" s="10">
        <v>5.7920962000000005</v>
      </c>
      <c r="J190" s="10">
        <v>14.187085199999999</v>
      </c>
      <c r="K190" s="10">
        <v>58.748301000000005</v>
      </c>
      <c r="L190" s="11">
        <v>188.89999999999998</v>
      </c>
      <c r="M190" s="11">
        <v>656.90000000000009</v>
      </c>
      <c r="N190" s="11">
        <v>8.5218166666666519</v>
      </c>
      <c r="O190" s="11">
        <v>12.337254166666673</v>
      </c>
    </row>
    <row r="191" spans="1:15">
      <c r="A191" s="1" t="s">
        <v>36</v>
      </c>
      <c r="B191" s="1" t="s">
        <v>39</v>
      </c>
      <c r="C191" s="2" t="s">
        <v>16</v>
      </c>
      <c r="D191" s="10">
        <v>5.2755603750000004</v>
      </c>
      <c r="E191" s="10">
        <v>10.734288750000015</v>
      </c>
      <c r="F191" s="10">
        <v>1.373299999999998</v>
      </c>
      <c r="G191" s="10">
        <v>8.0536250000000109</v>
      </c>
      <c r="H191" s="10">
        <v>163.86574285714289</v>
      </c>
      <c r="I191" s="10">
        <v>3.4472657999999994</v>
      </c>
      <c r="J191" s="10">
        <v>50.399449199999999</v>
      </c>
      <c r="K191" s="10">
        <v>69.303410999999997</v>
      </c>
      <c r="L191" s="11">
        <v>126.39999999999999</v>
      </c>
      <c r="M191" s="11">
        <v>51.2</v>
      </c>
      <c r="N191" s="11">
        <v>6.1316166666666509</v>
      </c>
      <c r="O191" s="11">
        <v>8.2351541666666748</v>
      </c>
    </row>
    <row r="192" spans="1:15">
      <c r="A192" s="1" t="s">
        <v>36</v>
      </c>
      <c r="B192" s="1" t="s">
        <v>39</v>
      </c>
      <c r="C192" s="2" t="s">
        <v>18</v>
      </c>
      <c r="D192" s="10">
        <v>4.8247953749999999</v>
      </c>
      <c r="E192" s="10">
        <v>13.370190750000015</v>
      </c>
      <c r="F192" s="10">
        <v>1.1428999999999978</v>
      </c>
      <c r="G192" s="10">
        <v>12.751625000000011</v>
      </c>
      <c r="H192" s="10">
        <v>131.3147523809524</v>
      </c>
      <c r="I192" s="10">
        <v>5.6795200000000001</v>
      </c>
      <c r="J192" s="10">
        <v>32.872597199999994</v>
      </c>
      <c r="K192" s="10">
        <v>52.813701000000002</v>
      </c>
      <c r="L192" s="11">
        <v>176</v>
      </c>
      <c r="M192" s="11">
        <v>55.8</v>
      </c>
      <c r="N192" s="11">
        <v>5.5179166666666521</v>
      </c>
      <c r="O192" s="11">
        <v>6.1679541666666768</v>
      </c>
    </row>
    <row r="193" spans="1:15">
      <c r="A193" s="1" t="s">
        <v>36</v>
      </c>
      <c r="B193" s="1" t="s">
        <v>39</v>
      </c>
      <c r="C193" s="2" t="s">
        <v>19</v>
      </c>
      <c r="D193" s="10">
        <v>7.190238374999999</v>
      </c>
      <c r="E193" s="10">
        <v>15.924525750000015</v>
      </c>
      <c r="F193" s="10">
        <v>1.1980999999999979</v>
      </c>
      <c r="G193" s="10">
        <v>13.684625000000011</v>
      </c>
      <c r="H193" s="10">
        <v>168.98503809523811</v>
      </c>
      <c r="I193" s="10">
        <v>5.4868220000000001</v>
      </c>
      <c r="J193" s="10">
        <v>25.886725200000004</v>
      </c>
      <c r="K193" s="10">
        <v>53.944100999999996</v>
      </c>
      <c r="L193" s="11">
        <v>232.4</v>
      </c>
      <c r="M193" s="11">
        <v>50.78</v>
      </c>
      <c r="N193" s="11">
        <v>5.0334166666666524</v>
      </c>
      <c r="O193" s="11">
        <v>9.7532541666666717</v>
      </c>
    </row>
    <row r="194" spans="1:15">
      <c r="A194" s="1" t="s">
        <v>36</v>
      </c>
      <c r="B194" s="1" t="s">
        <v>39</v>
      </c>
      <c r="C194" s="2" t="s">
        <v>20</v>
      </c>
      <c r="D194" s="10">
        <v>5.5588983749999983</v>
      </c>
      <c r="E194" s="10">
        <v>13.353018750000015</v>
      </c>
      <c r="F194" s="10">
        <v>1.2526999999999981</v>
      </c>
      <c r="G194" s="10">
        <v>12.56986363636365</v>
      </c>
      <c r="H194" s="10">
        <v>95.86604761904762</v>
      </c>
      <c r="I194" s="10">
        <v>2.5770821999999995</v>
      </c>
      <c r="J194" s="10">
        <v>21.896413200000001</v>
      </c>
      <c r="K194" s="10">
        <v>46.342160999999997</v>
      </c>
      <c r="L194" s="11">
        <v>121.30000000000001</v>
      </c>
      <c r="M194" s="11">
        <v>62.319999999999993</v>
      </c>
      <c r="N194" s="11">
        <v>6.1316166666666509</v>
      </c>
      <c r="O194" s="11">
        <v>8.6873541666666743</v>
      </c>
    </row>
    <row r="195" spans="1:15">
      <c r="A195" s="1" t="s">
        <v>36</v>
      </c>
      <c r="B195" s="1" t="s">
        <v>39</v>
      </c>
      <c r="C195" s="2" t="s">
        <v>22</v>
      </c>
      <c r="D195" s="10">
        <v>6.5033583749999995</v>
      </c>
      <c r="E195" s="10">
        <v>11.262327750000015</v>
      </c>
      <c r="F195" s="10">
        <v>1.096699999999998</v>
      </c>
      <c r="G195" s="10">
        <v>15.130625000000009</v>
      </c>
      <c r="H195" s="10">
        <v>71.235476190476177</v>
      </c>
      <c r="I195" s="10">
        <v>4.6572063999999997</v>
      </c>
      <c r="J195" s="10">
        <v>28.017529200000002</v>
      </c>
      <c r="K195" s="10">
        <v>58.762430999999992</v>
      </c>
      <c r="L195" s="11">
        <v>235.9</v>
      </c>
      <c r="M195" s="11">
        <v>547.09999999999991</v>
      </c>
      <c r="N195" s="11">
        <v>13.689816666666651</v>
      </c>
      <c r="O195" s="11">
        <v>10.754554166666674</v>
      </c>
    </row>
    <row r="196" spans="1:15">
      <c r="A196" s="1" t="s">
        <v>36</v>
      </c>
      <c r="B196" s="1" t="s">
        <v>39</v>
      </c>
      <c r="C196" s="2" t="s">
        <v>23</v>
      </c>
      <c r="D196" s="10">
        <v>4.846260375</v>
      </c>
      <c r="E196" s="10">
        <v>12.455781750000014</v>
      </c>
      <c r="F196" s="10">
        <v>1.2610999999999981</v>
      </c>
      <c r="G196" s="10">
        <v>13.255625000000011</v>
      </c>
      <c r="H196" s="10">
        <v>112.86597142857143</v>
      </c>
      <c r="I196" s="10">
        <v>4.9736367999999995</v>
      </c>
      <c r="J196" s="10">
        <v>29.622697199999998</v>
      </c>
      <c r="K196" s="10">
        <v>51.033320999999994</v>
      </c>
      <c r="L196" s="11">
        <v>205.70000000000002</v>
      </c>
      <c r="M196" s="11">
        <v>61.480000000000004</v>
      </c>
      <c r="N196" s="11">
        <v>7.9727166666666509</v>
      </c>
      <c r="O196" s="11">
        <v>9.8501541666666768</v>
      </c>
    </row>
    <row r="197" spans="1:15">
      <c r="A197" s="1" t="s">
        <v>36</v>
      </c>
      <c r="B197" s="1" t="s">
        <v>39</v>
      </c>
      <c r="C197" s="2" t="s">
        <v>24</v>
      </c>
      <c r="D197" s="10">
        <v>5.5116753749999994</v>
      </c>
      <c r="E197" s="10">
        <v>13.649235750000015</v>
      </c>
      <c r="F197" s="10">
        <v>1.693699999999998</v>
      </c>
      <c r="G197" s="10">
        <v>10.351625000000011</v>
      </c>
      <c r="H197" s="10">
        <v>144.64423809523808</v>
      </c>
      <c r="I197" s="10">
        <v>4.3661310000000002</v>
      </c>
      <c r="J197" s="10">
        <v>37.190725200000003</v>
      </c>
      <c r="K197" s="10">
        <v>52.262631000000013</v>
      </c>
      <c r="L197" s="11">
        <v>111.39999999999999</v>
      </c>
      <c r="M197" s="11">
        <v>35.92</v>
      </c>
      <c r="N197" s="11">
        <v>4.7104166666666529</v>
      </c>
      <c r="O197" s="11">
        <v>8.7842541666666776</v>
      </c>
    </row>
    <row r="198" spans="1:15">
      <c r="A198" s="1" t="s">
        <v>36</v>
      </c>
      <c r="B198" s="1" t="s">
        <v>39</v>
      </c>
      <c r="C198" s="2" t="s">
        <v>26</v>
      </c>
      <c r="D198" s="10">
        <v>6.1813833749999993</v>
      </c>
      <c r="E198" s="10">
        <v>14.039898750000013</v>
      </c>
      <c r="F198" s="10">
        <v>1.5286999999999982</v>
      </c>
      <c r="G198" s="10">
        <v>11.524625000000011</v>
      </c>
      <c r="H198" s="10">
        <v>196.22355238095238</v>
      </c>
      <c r="I198" s="10">
        <v>5.3722173999999994</v>
      </c>
      <c r="J198" s="10">
        <v>40.293673199999994</v>
      </c>
      <c r="K198" s="10">
        <v>37.242441000000007</v>
      </c>
      <c r="L198" s="11">
        <v>103.70000000000002</v>
      </c>
      <c r="M198" s="11">
        <v>55</v>
      </c>
      <c r="N198" s="11">
        <v>3.8383166666666533</v>
      </c>
      <c r="O198" s="11">
        <v>7.2984541666666773</v>
      </c>
    </row>
    <row r="199" spans="1:15">
      <c r="A199" s="1" t="s">
        <v>36</v>
      </c>
      <c r="B199" s="1" t="s">
        <v>39</v>
      </c>
      <c r="C199" s="2" t="s">
        <v>27</v>
      </c>
      <c r="D199" s="10">
        <v>5.370006375</v>
      </c>
      <c r="E199" s="10">
        <v>13.881057750000014</v>
      </c>
      <c r="F199" s="10">
        <v>1.1944999999999979</v>
      </c>
      <c r="G199" s="10">
        <v>16.585625000000011</v>
      </c>
      <c r="H199" s="10">
        <v>101.08193333333331</v>
      </c>
      <c r="I199" s="10">
        <v>3.3367179999999999</v>
      </c>
      <c r="J199" s="10">
        <v>34.935577199999997</v>
      </c>
      <c r="K199" s="10">
        <v>38.245670999999994</v>
      </c>
      <c r="L199" s="11">
        <v>200.1</v>
      </c>
      <c r="M199" s="11">
        <v>575.79999999999995</v>
      </c>
      <c r="N199" s="11">
        <v>5.6471166666666539</v>
      </c>
      <c r="O199" s="11">
        <v>10.237754166666676</v>
      </c>
    </row>
    <row r="200" spans="1:15">
      <c r="A200" s="1" t="s">
        <v>36</v>
      </c>
      <c r="B200" s="1" t="s">
        <v>40</v>
      </c>
      <c r="C200" s="2" t="s">
        <v>4</v>
      </c>
      <c r="D200" s="10">
        <v>4.4040813749999996</v>
      </c>
      <c r="E200" s="10">
        <v>10.523931750000012</v>
      </c>
      <c r="F200" s="10">
        <v>1.096699999999998</v>
      </c>
      <c r="G200" s="10">
        <v>9.0676250000000085</v>
      </c>
      <c r="H200" s="10">
        <v>123.39433333333331</v>
      </c>
      <c r="I200" s="10">
        <v>5.4885123333333361</v>
      </c>
      <c r="J200" s="10">
        <v>31.48032120000002</v>
      </c>
      <c r="K200" s="10">
        <v>44.696015999999993</v>
      </c>
      <c r="L200" s="11">
        <v>367.4</v>
      </c>
      <c r="M200" s="11">
        <v>40.660000000000011</v>
      </c>
      <c r="N200" s="11">
        <v>8.2311166666666526</v>
      </c>
      <c r="O200" s="11">
        <v>6.8973958333333325</v>
      </c>
    </row>
    <row r="201" spans="1:15">
      <c r="A201" s="1" t="s">
        <v>36</v>
      </c>
      <c r="B201" s="1" t="s">
        <v>40</v>
      </c>
      <c r="C201" s="2" t="s">
        <v>6</v>
      </c>
      <c r="D201" s="10">
        <v>4.3010493749999998</v>
      </c>
      <c r="E201" s="10">
        <v>9.8585167500000157</v>
      </c>
      <c r="F201" s="10">
        <v>1.1098999999999979</v>
      </c>
      <c r="G201" s="10">
        <v>9.8806250000000091</v>
      </c>
      <c r="H201" s="10">
        <v>172.17252380952382</v>
      </c>
      <c r="I201" s="10">
        <v>3.1599091333333367</v>
      </c>
      <c r="J201" s="10">
        <v>34.238497200000189</v>
      </c>
      <c r="K201" s="10">
        <v>67.558355999999989</v>
      </c>
      <c r="L201" s="11">
        <v>112.4</v>
      </c>
      <c r="M201" s="11">
        <v>12.64</v>
      </c>
      <c r="N201" s="11">
        <v>6.0993166666666507</v>
      </c>
      <c r="O201" s="11">
        <v>11.677795833333333</v>
      </c>
    </row>
    <row r="202" spans="1:15">
      <c r="A202" s="1" t="s">
        <v>36</v>
      </c>
      <c r="B202" s="1" t="s">
        <v>40</v>
      </c>
      <c r="C202" s="2" t="s">
        <v>7</v>
      </c>
      <c r="D202" s="10">
        <v>4.009125375</v>
      </c>
      <c r="E202" s="10">
        <v>12.348456750000011</v>
      </c>
      <c r="F202" s="10">
        <v>1.058299999999998</v>
      </c>
      <c r="G202" s="10">
        <v>10.183625000000012</v>
      </c>
      <c r="H202" s="10">
        <v>115.95686666666666</v>
      </c>
      <c r="I202" s="10">
        <v>4.3546367333333365</v>
      </c>
      <c r="J202" s="10">
        <v>28.405633200000018</v>
      </c>
      <c r="K202" s="10">
        <v>91.000026000000005</v>
      </c>
      <c r="L202" s="11">
        <v>303.59999999999997</v>
      </c>
      <c r="M202" s="11">
        <v>44.14</v>
      </c>
      <c r="N202" s="11">
        <v>6.2931166666666511</v>
      </c>
      <c r="O202" s="11">
        <v>9.5782958333333337</v>
      </c>
    </row>
    <row r="203" spans="1:15">
      <c r="A203" s="1" t="s">
        <v>36</v>
      </c>
      <c r="B203" s="1" t="s">
        <v>40</v>
      </c>
      <c r="C203" s="2" t="s">
        <v>8</v>
      </c>
      <c r="D203" s="10">
        <v>5.0823753750000007</v>
      </c>
      <c r="E203" s="10">
        <v>9.5107837500000141</v>
      </c>
      <c r="F203" s="10">
        <v>0.78649999999999798</v>
      </c>
      <c r="G203" s="10">
        <v>8.7166250000000094</v>
      </c>
      <c r="H203" s="10">
        <v>81.280885714285716</v>
      </c>
      <c r="I203" s="10">
        <v>5.2248203333333372</v>
      </c>
      <c r="J203" s="10">
        <v>40.110925200000196</v>
      </c>
      <c r="K203" s="10">
        <v>78.113466000000003</v>
      </c>
      <c r="L203" s="11">
        <v>166.8</v>
      </c>
      <c r="M203" s="11">
        <v>34.340000000000003</v>
      </c>
      <c r="N203" s="11">
        <v>5.5502166666666515</v>
      </c>
      <c r="O203" s="11">
        <v>11.12869583333333</v>
      </c>
    </row>
    <row r="204" spans="1:15">
      <c r="A204" s="1" t="s">
        <v>36</v>
      </c>
      <c r="B204" s="1" t="s">
        <v>40</v>
      </c>
      <c r="C204" s="2" t="s">
        <v>10</v>
      </c>
      <c r="D204" s="10">
        <v>4.4513043750000003</v>
      </c>
      <c r="E204" s="10">
        <v>12.906546750000015</v>
      </c>
      <c r="F204" s="10">
        <v>1.3156999999999981</v>
      </c>
      <c r="G204" s="10">
        <v>9.6676250000000099</v>
      </c>
      <c r="H204" s="10">
        <v>183.76338095238097</v>
      </c>
      <c r="I204" s="10">
        <v>3.3120391333333363</v>
      </c>
      <c r="J204" s="10">
        <v>44.027761200000192</v>
      </c>
      <c r="K204" s="10">
        <v>62.316126000000004</v>
      </c>
      <c r="L204" s="11">
        <v>213.2</v>
      </c>
      <c r="M204" s="11">
        <v>29.939999999999998</v>
      </c>
      <c r="N204" s="11">
        <v>4.839616666666652</v>
      </c>
      <c r="O204" s="11">
        <v>10.062795833333332</v>
      </c>
    </row>
    <row r="205" spans="1:15">
      <c r="A205" s="1" t="s">
        <v>36</v>
      </c>
      <c r="B205" s="1" t="s">
        <v>40</v>
      </c>
      <c r="C205" s="2" t="s">
        <v>11</v>
      </c>
      <c r="D205" s="10">
        <v>4.4169603750000004</v>
      </c>
      <c r="E205" s="10">
        <v>10.858785750000015</v>
      </c>
      <c r="F205" s="10">
        <v>1.0126999999999979</v>
      </c>
      <c r="G205" s="10">
        <v>8.87262500000001</v>
      </c>
      <c r="H205" s="10">
        <v>176.51909523809525</v>
      </c>
      <c r="I205" s="10">
        <v>4.1365837333333362</v>
      </c>
      <c r="J205" s="10">
        <v>40.325701200000196</v>
      </c>
      <c r="K205" s="10">
        <v>82.211166000000006</v>
      </c>
      <c r="L205" s="11">
        <v>116.39999999999999</v>
      </c>
      <c r="M205" s="11">
        <v>30.600000000000005</v>
      </c>
      <c r="N205" s="11">
        <v>5.5502166666666515</v>
      </c>
      <c r="O205" s="11">
        <v>5.8637958333333344</v>
      </c>
    </row>
    <row r="206" spans="1:15">
      <c r="A206" s="1" t="s">
        <v>36</v>
      </c>
      <c r="B206" s="1" t="s">
        <v>40</v>
      </c>
      <c r="C206" s="2" t="s">
        <v>12</v>
      </c>
      <c r="D206" s="10">
        <v>4.6745403750000003</v>
      </c>
      <c r="E206" s="10">
        <v>14.353287750000012</v>
      </c>
      <c r="F206" s="10">
        <v>1.0420999999999978</v>
      </c>
      <c r="G206" s="10">
        <v>10.090625000000012</v>
      </c>
      <c r="H206" s="10">
        <v>186.85427619047621</v>
      </c>
      <c r="I206" s="10">
        <v>6.0209673333333367</v>
      </c>
      <c r="J206" s="10">
        <v>56.072173200000194</v>
      </c>
      <c r="K206" s="10">
        <v>69.239826000000008</v>
      </c>
      <c r="L206" s="11">
        <v>229.4</v>
      </c>
      <c r="M206" s="11">
        <v>45.74</v>
      </c>
      <c r="N206" s="11">
        <v>7.7143166666666518</v>
      </c>
      <c r="O206" s="11">
        <v>5.7991958333333322</v>
      </c>
    </row>
    <row r="207" spans="1:15">
      <c r="A207" s="1" t="s">
        <v>36</v>
      </c>
      <c r="B207" s="1" t="s">
        <v>40</v>
      </c>
      <c r="C207" s="2" t="s">
        <v>14</v>
      </c>
      <c r="D207" s="10">
        <v>3.6270483749999998</v>
      </c>
      <c r="E207" s="10">
        <v>11.610060750000013</v>
      </c>
      <c r="F207" s="10">
        <v>0.98989999999999789</v>
      </c>
      <c r="G207" s="10">
        <v>12.81462500000001</v>
      </c>
      <c r="H207" s="10">
        <v>152.8544285714286</v>
      </c>
      <c r="I207" s="10">
        <v>3.3586923333333365</v>
      </c>
      <c r="J207" s="10">
        <v>70.886065200000175</v>
      </c>
      <c r="K207" s="10">
        <v>73.012535999999997</v>
      </c>
      <c r="L207" s="11">
        <v>428.8</v>
      </c>
      <c r="M207" s="11">
        <v>32.24</v>
      </c>
      <c r="N207" s="11">
        <v>4.968816666666652</v>
      </c>
      <c r="O207" s="11">
        <v>6.4128958333333346</v>
      </c>
    </row>
    <row r="208" spans="1:15">
      <c r="A208" s="1" t="s">
        <v>36</v>
      </c>
      <c r="B208" s="1" t="s">
        <v>40</v>
      </c>
      <c r="C208" s="2" t="s">
        <v>15</v>
      </c>
      <c r="D208" s="10">
        <v>2.6139003750000005</v>
      </c>
      <c r="E208" s="10">
        <v>14.585109750000013</v>
      </c>
      <c r="F208" s="10">
        <v>0.93169999999999797</v>
      </c>
      <c r="G208" s="10">
        <v>14.614625000000009</v>
      </c>
      <c r="H208" s="10">
        <v>219.11549523809524</v>
      </c>
      <c r="I208" s="10">
        <v>4.5858743333333365</v>
      </c>
      <c r="J208" s="10">
        <v>34.437636000000005</v>
      </c>
      <c r="K208" s="10">
        <v>59.36295599999999</v>
      </c>
      <c r="L208" s="11">
        <v>503.00000000000011</v>
      </c>
      <c r="M208" s="11">
        <v>68.72</v>
      </c>
      <c r="N208" s="11">
        <v>6.5515166666666511</v>
      </c>
      <c r="O208" s="11">
        <v>7.8663958333333337</v>
      </c>
    </row>
    <row r="209" spans="1:15">
      <c r="A209" s="1" t="s">
        <v>36</v>
      </c>
      <c r="B209" s="1" t="s">
        <v>40</v>
      </c>
      <c r="C209" s="2" t="s">
        <v>16</v>
      </c>
      <c r="D209" s="10">
        <v>4.700298375</v>
      </c>
      <c r="E209" s="10">
        <v>16.100538750000016</v>
      </c>
      <c r="F209" s="10">
        <v>0.86269999999999791</v>
      </c>
      <c r="G209" s="10">
        <v>18.325625000000009</v>
      </c>
      <c r="H209" s="10">
        <v>126.38863809523804</v>
      </c>
      <c r="I209" s="10">
        <v>6.052407533333338</v>
      </c>
      <c r="J209" s="10">
        <v>57.869509200000202</v>
      </c>
      <c r="K209" s="10">
        <v>42.929766000000001</v>
      </c>
      <c r="L209" s="11">
        <v>296.20000000000005</v>
      </c>
      <c r="M209" s="11">
        <v>33.840000000000003</v>
      </c>
      <c r="N209" s="11">
        <v>5.4210166666666524</v>
      </c>
      <c r="O209" s="11">
        <v>9.352195833333333</v>
      </c>
    </row>
    <row r="210" spans="1:15">
      <c r="A210" s="1" t="s">
        <v>36</v>
      </c>
      <c r="B210" s="1" t="s">
        <v>40</v>
      </c>
      <c r="C210" s="2" t="s">
        <v>18</v>
      </c>
      <c r="D210" s="10">
        <v>4.2323613749999991</v>
      </c>
      <c r="E210" s="10">
        <v>15.349263750000013</v>
      </c>
      <c r="F210" s="10">
        <v>1.3600999999999981</v>
      </c>
      <c r="G210" s="10">
        <v>17.830625000000008</v>
      </c>
      <c r="H210" s="10">
        <v>199.70080952380948</v>
      </c>
      <c r="I210" s="10">
        <v>4.4844543333333364</v>
      </c>
      <c r="J210" s="10">
        <v>33.345481200000187</v>
      </c>
      <c r="K210" s="10">
        <v>43.73517600000001</v>
      </c>
      <c r="L210" s="11">
        <v>596.79999999999995</v>
      </c>
      <c r="M210" s="11">
        <v>39.799999999999997</v>
      </c>
      <c r="N210" s="11">
        <v>5.4210166666666515</v>
      </c>
      <c r="O210" s="11">
        <v>7.3495958333333329</v>
      </c>
    </row>
    <row r="211" spans="1:15">
      <c r="A211" s="1" t="s">
        <v>36</v>
      </c>
      <c r="B211" s="1" t="s">
        <v>40</v>
      </c>
      <c r="C211" s="2" t="s">
        <v>19</v>
      </c>
      <c r="D211" s="10">
        <v>4.2366543749999996</v>
      </c>
      <c r="E211" s="10">
        <v>13.653528750000016</v>
      </c>
      <c r="F211" s="10">
        <v>1.1524999999999981</v>
      </c>
      <c r="G211" s="10">
        <v>18.571625000000012</v>
      </c>
      <c r="H211" s="10">
        <v>188.88267619047616</v>
      </c>
      <c r="I211" s="10">
        <v>5.2582889333333371</v>
      </c>
      <c r="J211" s="10">
        <v>41.478709200000196</v>
      </c>
      <c r="K211" s="10">
        <v>53.795735999999991</v>
      </c>
      <c r="L211" s="11">
        <v>536.1</v>
      </c>
      <c r="M211" s="11">
        <v>37.839999999999996</v>
      </c>
      <c r="N211" s="11">
        <v>7.6820166666666552</v>
      </c>
      <c r="O211" s="11">
        <v>5.5730958333333342</v>
      </c>
    </row>
    <row r="212" spans="1:15">
      <c r="A212" s="1" t="s">
        <v>36</v>
      </c>
      <c r="B212" s="1" t="s">
        <v>40</v>
      </c>
      <c r="C212" s="2" t="s">
        <v>20</v>
      </c>
      <c r="D212" s="10">
        <v>4.7818653749999998</v>
      </c>
      <c r="E212" s="10">
        <v>13.065387750000015</v>
      </c>
      <c r="F212" s="10">
        <v>1.270099999999998</v>
      </c>
      <c r="G212" s="10">
        <v>16.480625000000011</v>
      </c>
      <c r="H212" s="10">
        <v>194.19515238095235</v>
      </c>
      <c r="I212" s="10">
        <v>4.7674161333333371</v>
      </c>
      <c r="J212" s="10">
        <v>57.784729200000193</v>
      </c>
      <c r="K212" s="10">
        <v>68.038775999999984</v>
      </c>
      <c r="L212" s="11">
        <v>340.9</v>
      </c>
      <c r="M212" s="11">
        <v>63.660000000000004</v>
      </c>
      <c r="N212" s="11">
        <v>6.0670166666666532</v>
      </c>
      <c r="O212" s="11">
        <v>4.5071958333333333</v>
      </c>
    </row>
    <row r="213" spans="1:15">
      <c r="A213" s="1" t="s">
        <v>36</v>
      </c>
      <c r="B213" s="1" t="s">
        <v>40</v>
      </c>
      <c r="C213" s="2" t="s">
        <v>22</v>
      </c>
      <c r="D213" s="10">
        <v>4.2838773750000003</v>
      </c>
      <c r="E213" s="10">
        <v>13.966917750000013</v>
      </c>
      <c r="F213" s="10">
        <v>1.068499999999998</v>
      </c>
      <c r="G213" s="10">
        <v>14.55462500000001</v>
      </c>
      <c r="H213" s="10">
        <v>101.46829523809522</v>
      </c>
      <c r="I213" s="10">
        <v>5.6923665333333373</v>
      </c>
      <c r="J213" s="10">
        <v>65.386669200000199</v>
      </c>
      <c r="K213" s="10">
        <v>71.472365999999994</v>
      </c>
      <c r="L213" s="11">
        <v>190.20000000000005</v>
      </c>
      <c r="M213" s="11">
        <v>49.86</v>
      </c>
      <c r="N213" s="11">
        <v>3.1923166666666578</v>
      </c>
      <c r="O213" s="11">
        <v>7.7694958333333339</v>
      </c>
    </row>
    <row r="214" spans="1:15">
      <c r="A214" s="1" t="s">
        <v>36</v>
      </c>
      <c r="B214" s="1" t="s">
        <v>40</v>
      </c>
      <c r="C214" s="2" t="s">
        <v>23</v>
      </c>
      <c r="D214" s="10">
        <v>4.5543363750000001</v>
      </c>
      <c r="E214" s="10">
        <v>11.738850750000012</v>
      </c>
      <c r="F214" s="10">
        <v>0.98569999999999791</v>
      </c>
      <c r="G214" s="10">
        <v>11.55762500000001</v>
      </c>
      <c r="H214" s="10">
        <v>108.03644761904759</v>
      </c>
      <c r="I214" s="10">
        <v>4.7501747333333366</v>
      </c>
      <c r="J214" s="10">
        <v>32.090737200000184</v>
      </c>
      <c r="K214" s="10">
        <v>73.337526000000011</v>
      </c>
      <c r="L214" s="11">
        <v>193.49999999999997</v>
      </c>
      <c r="M214" s="11">
        <v>50.760000000000005</v>
      </c>
      <c r="N214" s="11">
        <v>5.3241166666666526</v>
      </c>
      <c r="O214" s="11">
        <v>7.5110958333333331</v>
      </c>
    </row>
    <row r="215" spans="1:15">
      <c r="A215" s="1" t="s">
        <v>36</v>
      </c>
      <c r="B215" s="1" t="s">
        <v>40</v>
      </c>
      <c r="C215" s="2" t="s">
        <v>24</v>
      </c>
      <c r="D215" s="10">
        <v>4.5500433749999996</v>
      </c>
      <c r="E215" s="10">
        <v>11.747436750000015</v>
      </c>
      <c r="F215" s="10">
        <v>1.1686999999999979</v>
      </c>
      <c r="G215" s="10">
        <v>11.665625000000009</v>
      </c>
      <c r="H215" s="10">
        <v>126.38863809523804</v>
      </c>
      <c r="I215" s="10">
        <v>4.3759349333333368</v>
      </c>
      <c r="J215" s="10">
        <v>33.893725200000191</v>
      </c>
      <c r="K215" s="10">
        <v>73.323395999999988</v>
      </c>
      <c r="L215" s="11">
        <v>134.79999999999998</v>
      </c>
      <c r="M215" s="11">
        <v>43.26</v>
      </c>
      <c r="N215" s="11">
        <v>4.4843166666666523</v>
      </c>
      <c r="O215" s="11">
        <v>5.0562958333333334</v>
      </c>
    </row>
    <row r="216" spans="1:15">
      <c r="A216" s="1" t="s">
        <v>36</v>
      </c>
      <c r="B216" s="1" t="s">
        <v>40</v>
      </c>
      <c r="C216" s="2" t="s">
        <v>26</v>
      </c>
      <c r="D216" s="10">
        <v>4.902069375</v>
      </c>
      <c r="E216" s="10">
        <v>11.524200750000013</v>
      </c>
      <c r="F216" s="10">
        <v>1.1920999999999979</v>
      </c>
      <c r="G216" s="10">
        <v>10.588625000000011</v>
      </c>
      <c r="H216" s="10">
        <v>194.29174285714282</v>
      </c>
      <c r="I216" s="10">
        <v>5.0757329333333363</v>
      </c>
      <c r="J216" s="10">
        <v>25.930057200000022</v>
      </c>
      <c r="K216" s="10">
        <v>80.586215999999993</v>
      </c>
      <c r="L216" s="11">
        <v>367.1</v>
      </c>
      <c r="M216" s="11">
        <v>86.98</v>
      </c>
      <c r="N216" s="11">
        <v>6.1316166666666509</v>
      </c>
      <c r="O216" s="11">
        <v>3.7965958333333338</v>
      </c>
    </row>
    <row r="217" spans="1:15">
      <c r="A217" s="1" t="s">
        <v>36</v>
      </c>
      <c r="B217" s="1" t="s">
        <v>40</v>
      </c>
      <c r="C217" s="2" t="s">
        <v>27</v>
      </c>
      <c r="D217" s="10">
        <v>4.4899413749999999</v>
      </c>
      <c r="E217" s="10">
        <v>12.979527750000017</v>
      </c>
      <c r="F217" s="10">
        <v>1.1902999999999979</v>
      </c>
      <c r="G217" s="10">
        <v>13.468625000000008</v>
      </c>
      <c r="H217" s="10">
        <v>304.3082952380953</v>
      </c>
      <c r="I217" s="10">
        <v>5.6061595333333365</v>
      </c>
      <c r="J217" s="10">
        <v>31.548145200000022</v>
      </c>
      <c r="K217" s="10">
        <v>61.807446000000006</v>
      </c>
      <c r="L217" s="11">
        <v>288.80000000000007</v>
      </c>
      <c r="M217" s="11">
        <v>45.260000000000005</v>
      </c>
      <c r="N217" s="11">
        <v>9.3939166666666516</v>
      </c>
      <c r="O217" s="11">
        <v>8.3185958333333332</v>
      </c>
    </row>
    <row r="218" spans="1:15">
      <c r="A218" s="1" t="s">
        <v>36</v>
      </c>
      <c r="B218" s="1" t="s">
        <v>41</v>
      </c>
      <c r="C218" s="2" t="s">
        <v>4</v>
      </c>
      <c r="D218" s="10">
        <v>5.4308238750000131</v>
      </c>
      <c r="E218" s="10">
        <v>16.154022375</v>
      </c>
      <c r="F218" s="10">
        <v>1.6104749999999999</v>
      </c>
      <c r="G218" s="10">
        <v>21.923999999999999</v>
      </c>
      <c r="H218" s="10">
        <v>199.87789206349177</v>
      </c>
      <c r="I218" s="10">
        <v>3.3820189333333364</v>
      </c>
      <c r="J218" s="10">
        <v>52.175119200000182</v>
      </c>
      <c r="K218" s="10">
        <v>50.851986000000046</v>
      </c>
      <c r="L218" s="11">
        <v>267.2</v>
      </c>
      <c r="M218" s="11">
        <v>65</v>
      </c>
      <c r="N218" s="11">
        <v>4.6444708333333464</v>
      </c>
      <c r="O218" s="11">
        <v>6.169299999999998</v>
      </c>
    </row>
    <row r="219" spans="1:15">
      <c r="A219" s="1" t="s">
        <v>36</v>
      </c>
      <c r="B219" s="1" t="s">
        <v>41</v>
      </c>
      <c r="C219" s="2" t="s">
        <v>6</v>
      </c>
      <c r="D219" s="10">
        <v>5.1904158750000136</v>
      </c>
      <c r="E219" s="10">
        <v>15.741894375000001</v>
      </c>
      <c r="F219" s="10">
        <v>1.242075</v>
      </c>
      <c r="G219" s="10">
        <v>19.458000000000002</v>
      </c>
      <c r="H219" s="10">
        <v>197.6563111111108</v>
      </c>
      <c r="I219" s="10">
        <v>3.9063603333333363</v>
      </c>
      <c r="J219" s="10">
        <v>43.629295200000186</v>
      </c>
      <c r="K219" s="10">
        <v>48.492276000000047</v>
      </c>
      <c r="L219" s="11">
        <v>261.90000000000003</v>
      </c>
      <c r="M219" s="11">
        <v>65.899999999999991</v>
      </c>
      <c r="N219" s="11">
        <v>4.8705708333333471</v>
      </c>
      <c r="O219" s="11">
        <v>11.369599999999988</v>
      </c>
    </row>
    <row r="220" spans="1:15">
      <c r="A220" s="1" t="s">
        <v>36</v>
      </c>
      <c r="B220" s="1" t="s">
        <v>41</v>
      </c>
      <c r="C220" s="2" t="s">
        <v>7</v>
      </c>
      <c r="D220" s="10">
        <v>4.4305548750000145</v>
      </c>
      <c r="E220" s="10">
        <v>14.325204375</v>
      </c>
      <c r="F220" s="10">
        <v>1.1166750000000001</v>
      </c>
      <c r="G220" s="10">
        <v>20.492999999999999</v>
      </c>
      <c r="H220" s="10">
        <v>113.6225968253965</v>
      </c>
      <c r="I220" s="10">
        <v>5.6173157333333368</v>
      </c>
      <c r="J220" s="10">
        <v>73.460551200000182</v>
      </c>
      <c r="K220" s="10">
        <v>40.749036000000046</v>
      </c>
      <c r="L220" s="11">
        <v>236.2</v>
      </c>
      <c r="M220" s="11">
        <v>92</v>
      </c>
      <c r="N220" s="11">
        <v>5.9687708333333429</v>
      </c>
      <c r="O220" s="11">
        <v>6.912199999999987</v>
      </c>
    </row>
    <row r="221" spans="1:15">
      <c r="A221" s="1" t="s">
        <v>36</v>
      </c>
      <c r="B221" s="1" t="s">
        <v>41</v>
      </c>
      <c r="C221" s="2" t="s">
        <v>8</v>
      </c>
      <c r="D221" s="10">
        <v>6.0919458750000137</v>
      </c>
      <c r="E221" s="10">
        <v>21.752094375000006</v>
      </c>
      <c r="F221" s="10">
        <v>1.6992750000000001</v>
      </c>
      <c r="G221" s="10">
        <v>23.727000000000004</v>
      </c>
      <c r="H221" s="10">
        <v>138.54293968253933</v>
      </c>
      <c r="I221" s="10">
        <v>4.2988557333333359</v>
      </c>
      <c r="J221" s="10">
        <v>34.648267200000184</v>
      </c>
      <c r="K221" s="10">
        <v>64.120056000000048</v>
      </c>
      <c r="L221" s="11">
        <v>274.8</v>
      </c>
      <c r="M221" s="11">
        <v>56.999999999999993</v>
      </c>
      <c r="N221" s="11">
        <v>9.812470833333343</v>
      </c>
      <c r="O221" s="11">
        <v>10.820499999999985</v>
      </c>
    </row>
    <row r="222" spans="1:15">
      <c r="A222" s="1" t="s">
        <v>36</v>
      </c>
      <c r="B222" s="1" t="s">
        <v>41</v>
      </c>
      <c r="C222" s="2" t="s">
        <v>10</v>
      </c>
      <c r="D222" s="10">
        <v>4.6924278750000141</v>
      </c>
      <c r="E222" s="10">
        <v>15.763359374999999</v>
      </c>
      <c r="F222" s="10">
        <v>0.85387499999999994</v>
      </c>
      <c r="G222" s="10">
        <v>22.962000000000003</v>
      </c>
      <c r="H222" s="10">
        <v>100.96924444444412</v>
      </c>
      <c r="I222" s="10">
        <v>5.4854697333333364</v>
      </c>
      <c r="J222" s="10">
        <v>38.932483200000192</v>
      </c>
      <c r="K222" s="10">
        <v>45.355416000000041</v>
      </c>
      <c r="L222" s="11">
        <v>232.90000000000003</v>
      </c>
      <c r="M222" s="11">
        <v>81.199999999999989</v>
      </c>
      <c r="N222" s="11">
        <v>6.0333708333333425</v>
      </c>
      <c r="O222" s="11">
        <v>16.763699999999996</v>
      </c>
    </row>
    <row r="223" spans="1:15">
      <c r="A223" s="1" t="s">
        <v>36</v>
      </c>
      <c r="B223" s="1" t="s">
        <v>41</v>
      </c>
      <c r="C223" s="2" t="s">
        <v>11</v>
      </c>
      <c r="D223" s="10">
        <v>4.9027848750000143</v>
      </c>
      <c r="E223" s="10">
        <v>17.630814375</v>
      </c>
      <c r="F223" s="10">
        <v>1.3038749999999999</v>
      </c>
      <c r="G223" s="10">
        <v>16.797000000000004</v>
      </c>
      <c r="H223" s="10">
        <v>182.68478730158697</v>
      </c>
      <c r="I223" s="10">
        <v>6.4570733333333372</v>
      </c>
      <c r="J223" s="10">
        <v>46.217911200000195</v>
      </c>
      <c r="K223" s="10">
        <v>55.175766000000046</v>
      </c>
      <c r="L223" s="11">
        <v>291.7</v>
      </c>
      <c r="M223" s="11">
        <v>5.4999999999999911</v>
      </c>
      <c r="N223" s="11">
        <v>4.1276708333333429</v>
      </c>
      <c r="O223" s="11">
        <v>16.602199999999996</v>
      </c>
    </row>
    <row r="224" spans="1:15">
      <c r="A224" s="1" t="s">
        <v>36</v>
      </c>
      <c r="B224" s="1" t="s">
        <v>41</v>
      </c>
      <c r="C224" s="2" t="s">
        <v>12</v>
      </c>
      <c r="D224" s="10">
        <v>5.4007728750000146</v>
      </c>
      <c r="E224" s="10">
        <v>16.570443375</v>
      </c>
      <c r="F224" s="10">
        <v>1.456275</v>
      </c>
      <c r="G224" s="10">
        <v>16.943999999999996</v>
      </c>
      <c r="H224" s="10">
        <v>213.59373968253936</v>
      </c>
      <c r="I224" s="10">
        <v>2.3566627333333368</v>
      </c>
      <c r="J224" s="10">
        <v>65.864263200000195</v>
      </c>
      <c r="K224" s="10">
        <v>111.00339600000004</v>
      </c>
      <c r="L224" s="11">
        <v>372.70000000000005</v>
      </c>
      <c r="M224" s="11">
        <v>11.200000000000001</v>
      </c>
      <c r="N224" s="11">
        <v>6.0979708333333438</v>
      </c>
      <c r="O224" s="11">
        <v>15.536300000000001</v>
      </c>
    </row>
    <row r="225" spans="1:15">
      <c r="A225" s="1" t="s">
        <v>36</v>
      </c>
      <c r="B225" s="1" t="s">
        <v>41</v>
      </c>
      <c r="C225" s="2" t="s">
        <v>14</v>
      </c>
      <c r="D225" s="10">
        <v>4.859854875000015</v>
      </c>
      <c r="E225" s="10">
        <v>15.917907375</v>
      </c>
      <c r="F225" s="10">
        <v>1.6062750000000001</v>
      </c>
      <c r="G225" s="10">
        <v>20.298000000000002</v>
      </c>
      <c r="H225" s="10">
        <v>160.75874920634888</v>
      </c>
      <c r="I225" s="10">
        <v>4.8353675333333372</v>
      </c>
      <c r="J225" s="10">
        <v>43.205395200000183</v>
      </c>
      <c r="K225" s="10">
        <v>45.948876000000034</v>
      </c>
      <c r="L225" s="11">
        <v>218.6</v>
      </c>
      <c r="M225" s="11">
        <v>63.300000000000011</v>
      </c>
      <c r="N225" s="11">
        <v>4.5475708333333431</v>
      </c>
      <c r="O225" s="11">
        <v>9.6899999999999906</v>
      </c>
    </row>
    <row r="226" spans="1:15">
      <c r="A226" s="1" t="s">
        <v>36</v>
      </c>
      <c r="B226" s="1" t="s">
        <v>41</v>
      </c>
      <c r="C226" s="2" t="s">
        <v>15</v>
      </c>
      <c r="D226" s="10">
        <v>4.5207078750000145</v>
      </c>
      <c r="E226" s="10">
        <v>17.965668375</v>
      </c>
      <c r="F226" s="10">
        <v>1.1130749999999998</v>
      </c>
      <c r="G226" s="10">
        <v>19.158000000000001</v>
      </c>
      <c r="H226" s="10">
        <v>138.63953015872985</v>
      </c>
      <c r="I226" s="10">
        <v>5.3475385333333376</v>
      </c>
      <c r="J226" s="10">
        <v>18.822667200000019</v>
      </c>
      <c r="K226" s="10">
        <v>80.991276000000042</v>
      </c>
      <c r="L226" s="11">
        <v>258.90000000000003</v>
      </c>
      <c r="M226" s="11">
        <v>30.5</v>
      </c>
      <c r="N226" s="11">
        <v>6.1302708333333431</v>
      </c>
      <c r="O226" s="11">
        <v>12.726199999999999</v>
      </c>
    </row>
    <row r="227" spans="1:15">
      <c r="A227" s="1" t="s">
        <v>36</v>
      </c>
      <c r="B227" s="1" t="s">
        <v>41</v>
      </c>
      <c r="C227" s="2" t="s">
        <v>16</v>
      </c>
      <c r="D227" s="10">
        <v>5.0530398750000138</v>
      </c>
      <c r="E227" s="10">
        <v>18.047235375</v>
      </c>
      <c r="F227" s="10">
        <v>1.7430749999999999</v>
      </c>
      <c r="G227" s="10">
        <v>21.549000000000003</v>
      </c>
      <c r="H227" s="10">
        <v>207.70172063492035</v>
      </c>
      <c r="I227" s="10">
        <v>4.342466333333336</v>
      </c>
      <c r="J227" s="10">
        <v>53.503339200000198</v>
      </c>
      <c r="K227" s="10">
        <v>53.028006000000047</v>
      </c>
      <c r="L227" s="11">
        <v>340.4</v>
      </c>
      <c r="M227" s="11">
        <v>11.500000000000004</v>
      </c>
      <c r="N227" s="11">
        <v>6.4209708333333442</v>
      </c>
      <c r="O227" s="11">
        <v>14.405799999999999</v>
      </c>
    </row>
    <row r="228" spans="1:15">
      <c r="A228" s="1" t="s">
        <v>36</v>
      </c>
      <c r="B228" s="1" t="s">
        <v>41</v>
      </c>
      <c r="C228" s="2" t="s">
        <v>18</v>
      </c>
      <c r="D228" s="10">
        <v>5.3964798750000131</v>
      </c>
      <c r="E228" s="10">
        <v>17.274495375000001</v>
      </c>
      <c r="F228" s="10">
        <v>1.252275</v>
      </c>
      <c r="G228" s="10">
        <v>20.441999999999997</v>
      </c>
      <c r="H228" s="10">
        <v>147.71903492063456</v>
      </c>
      <c r="I228" s="10">
        <v>4.7866859333333371</v>
      </c>
      <c r="J228" s="10">
        <v>63.39999120000018</v>
      </c>
      <c r="K228" s="10">
        <v>110.69253600000003</v>
      </c>
      <c r="L228" s="11">
        <v>171.60000000000002</v>
      </c>
      <c r="M228" s="11">
        <v>37.299999999999997</v>
      </c>
      <c r="N228" s="11">
        <v>4.838270833333346</v>
      </c>
      <c r="O228" s="11">
        <v>13.242999999999997</v>
      </c>
    </row>
    <row r="229" spans="1:15">
      <c r="A229" s="1" t="s">
        <v>36</v>
      </c>
      <c r="B229" s="1" t="s">
        <v>41</v>
      </c>
      <c r="C229" s="2" t="s">
        <v>19</v>
      </c>
      <c r="D229" s="10">
        <v>5.4437028750000138</v>
      </c>
      <c r="E229" s="10">
        <v>15.123702375000001</v>
      </c>
      <c r="F229" s="10">
        <v>1.0776749999999999</v>
      </c>
      <c r="G229" s="10">
        <v>21.654</v>
      </c>
      <c r="H229" s="10">
        <v>115.36122539682508</v>
      </c>
      <c r="I229" s="10">
        <v>7.774519133333337</v>
      </c>
      <c r="J229" s="10">
        <v>43.996675200000183</v>
      </c>
      <c r="K229" s="10">
        <v>50.244396000000037</v>
      </c>
      <c r="L229" s="11">
        <v>236.9</v>
      </c>
      <c r="M229" s="11">
        <v>32.800000000000004</v>
      </c>
      <c r="N229" s="11">
        <v>5.0643708333333457</v>
      </c>
      <c r="O229" s="11">
        <v>9.7868999999999868</v>
      </c>
    </row>
    <row r="230" spans="1:15">
      <c r="A230" s="1" t="s">
        <v>36</v>
      </c>
      <c r="B230" s="1" t="s">
        <v>41</v>
      </c>
      <c r="C230" s="2" t="s">
        <v>20</v>
      </c>
      <c r="D230" s="10">
        <v>5.1603648750000142</v>
      </c>
      <c r="E230" s="10">
        <v>14.672937374999997</v>
      </c>
      <c r="F230" s="10">
        <v>1.020675</v>
      </c>
      <c r="G230" s="10">
        <v>18.969000000000001</v>
      </c>
      <c r="H230" s="10">
        <v>95.270406349206027</v>
      </c>
      <c r="I230" s="10">
        <v>5.4104189333333368</v>
      </c>
      <c r="J230" s="10">
        <v>36.959935200000196</v>
      </c>
      <c r="K230" s="10">
        <v>62.975526000000045</v>
      </c>
      <c r="L230" s="11">
        <v>302.3</v>
      </c>
      <c r="M230" s="11">
        <v>64.2</v>
      </c>
      <c r="N230" s="11">
        <v>5.9687708333333429</v>
      </c>
      <c r="O230" s="11">
        <v>15.084099999999999</v>
      </c>
    </row>
    <row r="231" spans="1:15">
      <c r="A231" s="1" t="s">
        <v>36</v>
      </c>
      <c r="B231" s="1" t="s">
        <v>41</v>
      </c>
      <c r="C231" s="2" t="s">
        <v>22</v>
      </c>
      <c r="D231" s="10">
        <v>4.8255108750000151</v>
      </c>
      <c r="E231" s="10">
        <v>16.596201374999996</v>
      </c>
      <c r="F231" s="10">
        <v>1.204275</v>
      </c>
      <c r="G231" s="10">
        <v>17.933999999999997</v>
      </c>
      <c r="H231" s="10">
        <v>117.582806349206</v>
      </c>
      <c r="I231" s="10">
        <v>4.251188333333336</v>
      </c>
      <c r="J231" s="10">
        <v>44.946211200000192</v>
      </c>
      <c r="K231" s="10">
        <v>78.405486000000053</v>
      </c>
      <c r="L231" s="11">
        <v>307.89999999999998</v>
      </c>
      <c r="M231" s="11">
        <v>38.9</v>
      </c>
      <c r="N231" s="11">
        <v>4.9351708333333431</v>
      </c>
      <c r="O231" s="11">
        <v>13.404499999999997</v>
      </c>
    </row>
    <row r="232" spans="1:15">
      <c r="A232" s="1" t="s">
        <v>36</v>
      </c>
      <c r="B232" s="1" t="s">
        <v>41</v>
      </c>
      <c r="C232" s="2" t="s">
        <v>23</v>
      </c>
      <c r="D232" s="10">
        <v>6.1434618750000123</v>
      </c>
      <c r="E232" s="10">
        <v>12.217341374999998</v>
      </c>
      <c r="F232" s="10">
        <v>1.0458749999999999</v>
      </c>
      <c r="G232" s="10">
        <v>14.49</v>
      </c>
      <c r="H232" s="10">
        <v>114.58850158730127</v>
      </c>
      <c r="I232" s="10">
        <v>1.5534163333333366</v>
      </c>
      <c r="J232" s="10">
        <v>40.97285520000019</v>
      </c>
      <c r="K232" s="10">
        <v>54.751866000000049</v>
      </c>
      <c r="L232" s="11">
        <v>266.39999999999998</v>
      </c>
      <c r="M232" s="11">
        <v>104.20000000000002</v>
      </c>
      <c r="N232" s="11">
        <v>5.8718708333333467</v>
      </c>
      <c r="O232" s="11">
        <v>11.272699999999988</v>
      </c>
    </row>
    <row r="233" spans="1:15">
      <c r="A233" s="1" t="s">
        <v>36</v>
      </c>
      <c r="B233" s="1" t="s">
        <v>41</v>
      </c>
      <c r="C233" s="2" t="s">
        <v>24</v>
      </c>
      <c r="D233" s="10">
        <v>5.9674488750000139</v>
      </c>
      <c r="E233" s="10">
        <v>16.797972375000004</v>
      </c>
      <c r="F233" s="10">
        <v>1.0530749999999998</v>
      </c>
      <c r="G233" s="10">
        <v>23.984999999999999</v>
      </c>
      <c r="H233" s="10">
        <v>135.25886349206317</v>
      </c>
      <c r="I233" s="10">
        <v>4.5564625333333364</v>
      </c>
      <c r="J233" s="10">
        <v>43.013227200000195</v>
      </c>
      <c r="K233" s="10">
        <v>61.110366000000056</v>
      </c>
      <c r="L233" s="11">
        <v>274.49999999999994</v>
      </c>
      <c r="M233" s="11">
        <v>50.600000000000009</v>
      </c>
      <c r="N233" s="11">
        <v>5.8718708333333423</v>
      </c>
      <c r="O233" s="11">
        <v>13.113799999999983</v>
      </c>
    </row>
    <row r="234" spans="1:15">
      <c r="A234" s="1" t="s">
        <v>36</v>
      </c>
      <c r="B234" s="1" t="s">
        <v>41</v>
      </c>
      <c r="C234" s="2" t="s">
        <v>26</v>
      </c>
      <c r="D234" s="10">
        <v>5.4265308750000125</v>
      </c>
      <c r="E234" s="10">
        <v>18.764166374999995</v>
      </c>
      <c r="F234" s="10">
        <v>1.1826750000000001</v>
      </c>
      <c r="G234" s="10">
        <v>26.463000000000001</v>
      </c>
      <c r="H234" s="10">
        <v>151.77583492063462</v>
      </c>
      <c r="I234" s="10">
        <v>6.0970323333333374</v>
      </c>
      <c r="J234" s="10">
        <v>25.848103200000022</v>
      </c>
      <c r="K234" s="10">
        <v>53.042136000000049</v>
      </c>
      <c r="L234" s="11">
        <v>240.4</v>
      </c>
      <c r="M234" s="11">
        <v>39.400000000000006</v>
      </c>
      <c r="N234" s="11">
        <v>4.6121708333333444</v>
      </c>
      <c r="O234" s="11">
        <v>10.303699999999987</v>
      </c>
    </row>
    <row r="235" spans="1:15">
      <c r="A235" s="1" t="s">
        <v>36</v>
      </c>
      <c r="B235" s="1" t="s">
        <v>41</v>
      </c>
      <c r="C235" s="2" t="s">
        <v>27</v>
      </c>
      <c r="D235" s="10">
        <v>5.5295628750000141</v>
      </c>
      <c r="E235" s="10">
        <v>15.132288375000002</v>
      </c>
      <c r="F235" s="10">
        <v>1.2498750000000001</v>
      </c>
      <c r="G235" s="10">
        <v>20.286000000000001</v>
      </c>
      <c r="H235" s="10">
        <v>205.38354920634885</v>
      </c>
      <c r="I235" s="10">
        <v>5.0929743333333377</v>
      </c>
      <c r="J235" s="10">
        <v>34.597399200000197</v>
      </c>
      <c r="K235" s="10">
        <v>62.170116000000043</v>
      </c>
      <c r="L235" s="11">
        <v>244.39999999999998</v>
      </c>
      <c r="M235" s="11">
        <v>87.4</v>
      </c>
      <c r="N235" s="11">
        <v>4.8705708333333435</v>
      </c>
      <c r="O235" s="11">
        <v>9.8191999999999897</v>
      </c>
    </row>
    <row r="236" spans="1:15">
      <c r="A236" s="1" t="s">
        <v>36</v>
      </c>
      <c r="B236" s="1" t="s">
        <v>42</v>
      </c>
      <c r="C236" s="2" t="s">
        <v>4</v>
      </c>
      <c r="D236" s="10">
        <v>7.4141898750000141</v>
      </c>
      <c r="E236" s="10">
        <v>16.016646374999997</v>
      </c>
      <c r="F236" s="10">
        <v>1.319475</v>
      </c>
      <c r="G236" s="10">
        <v>14.868</v>
      </c>
      <c r="H236" s="10">
        <v>194.32393968253936</v>
      </c>
      <c r="I236" s="10">
        <v>4.7931091999999991</v>
      </c>
      <c r="J236" s="10">
        <v>32.639654057142778</v>
      </c>
      <c r="K236" s="10">
        <v>61.20456599999995</v>
      </c>
      <c r="L236" s="11">
        <v>301.5</v>
      </c>
      <c r="M236" s="11">
        <v>131.35999999999999</v>
      </c>
      <c r="N236" s="11">
        <v>4.7413708333333462</v>
      </c>
      <c r="O236" s="11">
        <v>9.7855541666666781</v>
      </c>
    </row>
    <row r="237" spans="1:15">
      <c r="A237" s="1" t="s">
        <v>36</v>
      </c>
      <c r="B237" s="1" t="s">
        <v>42</v>
      </c>
      <c r="C237" s="2" t="s">
        <v>6</v>
      </c>
      <c r="D237" s="10">
        <v>7.0836288750000129</v>
      </c>
      <c r="E237" s="10">
        <v>15.346938374999997</v>
      </c>
      <c r="F237" s="10">
        <v>1.2174749999999999</v>
      </c>
      <c r="G237" s="10">
        <v>17.036999999999999</v>
      </c>
      <c r="H237" s="10">
        <v>162.73885396825361</v>
      </c>
      <c r="I237" s="10">
        <v>2.6947293999999999</v>
      </c>
      <c r="J237" s="10">
        <v>34.216562057142781</v>
      </c>
      <c r="K237" s="10">
        <v>93.124235999999954</v>
      </c>
      <c r="L237" s="11">
        <v>308.40000000000003</v>
      </c>
      <c r="M237" s="11">
        <v>113.01999999999998</v>
      </c>
      <c r="N237" s="11">
        <v>5.5811708333333465</v>
      </c>
      <c r="O237" s="11">
        <v>10.916054166666687</v>
      </c>
    </row>
    <row r="238" spans="1:15">
      <c r="A238" s="1" t="s">
        <v>36</v>
      </c>
      <c r="B238" s="1" t="s">
        <v>42</v>
      </c>
      <c r="C238" s="2" t="s">
        <v>7</v>
      </c>
      <c r="D238" s="10">
        <v>9.8053908750000147</v>
      </c>
      <c r="E238" s="10">
        <v>13.440846374999998</v>
      </c>
      <c r="F238" s="10">
        <v>1.6452750000000003</v>
      </c>
      <c r="G238" s="10">
        <v>17.792999999999999</v>
      </c>
      <c r="H238" s="10">
        <v>155.9775206349203</v>
      </c>
      <c r="I238" s="10">
        <v>4.9492960000000004</v>
      </c>
      <c r="J238" s="10">
        <v>55.750682057142782</v>
      </c>
      <c r="K238" s="10">
        <v>75.193265999999966</v>
      </c>
      <c r="L238" s="11">
        <v>306.3</v>
      </c>
      <c r="M238" s="11">
        <v>111.42</v>
      </c>
      <c r="N238" s="11">
        <v>4.967470833333345</v>
      </c>
      <c r="O238" s="11">
        <v>12.337254166666673</v>
      </c>
    </row>
    <row r="239" spans="1:15">
      <c r="A239" s="1" t="s">
        <v>36</v>
      </c>
      <c r="B239" s="1" t="s">
        <v>42</v>
      </c>
      <c r="C239" s="2" t="s">
        <v>8</v>
      </c>
      <c r="D239" s="10">
        <v>5.8472448750000137</v>
      </c>
      <c r="E239" s="10">
        <v>15.733308374999998</v>
      </c>
      <c r="F239" s="10">
        <v>1.403475</v>
      </c>
      <c r="G239" s="10">
        <v>19.407</v>
      </c>
      <c r="H239" s="10">
        <v>125.45493015872985</v>
      </c>
      <c r="I239" s="10">
        <v>6.1227253999999993</v>
      </c>
      <c r="J239" s="10">
        <v>38.545994057142778</v>
      </c>
      <c r="K239" s="10">
        <v>68.947805999999957</v>
      </c>
      <c r="L239" s="11">
        <v>216.9</v>
      </c>
      <c r="M239" s="11">
        <v>80.12</v>
      </c>
      <c r="N239" s="11">
        <v>6.4532708333333453</v>
      </c>
      <c r="O239" s="11">
        <v>9.2687541666666746</v>
      </c>
    </row>
    <row r="240" spans="1:15">
      <c r="A240" s="1" t="s">
        <v>36</v>
      </c>
      <c r="B240" s="1" t="s">
        <v>42</v>
      </c>
      <c r="C240" s="2" t="s">
        <v>10</v>
      </c>
      <c r="D240" s="10">
        <v>8.2126878750000145</v>
      </c>
      <c r="E240" s="10">
        <v>15.256785374999998</v>
      </c>
      <c r="F240" s="10">
        <v>1.2108749999999999</v>
      </c>
      <c r="G240" s="10">
        <v>19.308</v>
      </c>
      <c r="H240" s="10">
        <v>88.84713968253935</v>
      </c>
      <c r="I240" s="10">
        <v>7.0476758000000004</v>
      </c>
      <c r="J240" s="10">
        <v>21.228266057142836</v>
      </c>
      <c r="K240" s="10">
        <v>73.93569599999995</v>
      </c>
      <c r="L240" s="11">
        <v>171.8</v>
      </c>
      <c r="M240" s="11">
        <v>147.23999999999998</v>
      </c>
      <c r="N240" s="11">
        <v>5.3873708333333443</v>
      </c>
      <c r="O240" s="11">
        <v>12.563354166666675</v>
      </c>
    </row>
    <row r="241" spans="1:15">
      <c r="A241" s="1" t="s">
        <v>36</v>
      </c>
      <c r="B241" s="1" t="s">
        <v>42</v>
      </c>
      <c r="C241" s="2" t="s">
        <v>11</v>
      </c>
      <c r="D241" s="10">
        <v>6.435385875000013</v>
      </c>
      <c r="E241" s="10">
        <v>13.925955374999999</v>
      </c>
      <c r="F241" s="10">
        <v>1.0560750000000001</v>
      </c>
      <c r="G241" s="10">
        <v>17.289000000000001</v>
      </c>
      <c r="H241" s="10">
        <v>137.3355587301584</v>
      </c>
      <c r="I241" s="10">
        <v>5.6714063999999995</v>
      </c>
      <c r="J241" s="10">
        <v>59.006234057142755</v>
      </c>
      <c r="K241" s="10">
        <v>81.000695999999948</v>
      </c>
      <c r="L241" s="11">
        <v>252.7</v>
      </c>
      <c r="M241" s="11">
        <v>59.040000000000006</v>
      </c>
      <c r="N241" s="11">
        <v>6.0656708333333436</v>
      </c>
      <c r="O241" s="11">
        <v>10.076254166666674</v>
      </c>
    </row>
    <row r="242" spans="1:15">
      <c r="A242" s="1" t="s">
        <v>36</v>
      </c>
      <c r="B242" s="1" t="s">
        <v>42</v>
      </c>
      <c r="C242" s="2" t="s">
        <v>12</v>
      </c>
      <c r="D242" s="10">
        <v>5.173243875000014</v>
      </c>
      <c r="E242" s="10">
        <v>14.316618375000001</v>
      </c>
      <c r="F242" s="10">
        <v>1.3572749999999998</v>
      </c>
      <c r="G242" s="10">
        <v>14.199000000000002</v>
      </c>
      <c r="H242" s="10">
        <v>185.14784444444413</v>
      </c>
      <c r="I242" s="10">
        <v>3.7768807999999998</v>
      </c>
      <c r="J242" s="10">
        <v>59.062754057142783</v>
      </c>
      <c r="K242" s="10">
        <v>77.666015999999956</v>
      </c>
      <c r="L242" s="11">
        <v>360.29999999999995</v>
      </c>
      <c r="M242" s="11">
        <v>127.7</v>
      </c>
      <c r="N242" s="11">
        <v>4.6767708333333466</v>
      </c>
      <c r="O242" s="11">
        <v>7.6860541666666746</v>
      </c>
    </row>
    <row r="243" spans="1:15">
      <c r="A243" s="1" t="s">
        <v>36</v>
      </c>
      <c r="B243" s="1" t="s">
        <v>42</v>
      </c>
      <c r="C243" s="2" t="s">
        <v>14</v>
      </c>
      <c r="D243" s="10">
        <v>6.4396788750000145</v>
      </c>
      <c r="E243" s="10">
        <v>12.298908375</v>
      </c>
      <c r="F243" s="10">
        <v>1.2228749999999997</v>
      </c>
      <c r="G243" s="10">
        <v>13.131</v>
      </c>
      <c r="H243" s="10">
        <v>241.94304444444415</v>
      </c>
      <c r="I243" s="10">
        <v>6.2028471999999999</v>
      </c>
      <c r="J243" s="10">
        <v>44.435378057142771</v>
      </c>
      <c r="K243" s="10">
        <v>89.916725999999954</v>
      </c>
      <c r="L243" s="11">
        <v>204.29999999999998</v>
      </c>
      <c r="M243" s="11">
        <v>91.88000000000001</v>
      </c>
      <c r="N243" s="11">
        <v>6.0333708333333469</v>
      </c>
      <c r="O243" s="11">
        <v>10.173154166666675</v>
      </c>
    </row>
    <row r="244" spans="1:15">
      <c r="A244" s="1" t="s">
        <v>36</v>
      </c>
      <c r="B244" s="1" t="s">
        <v>42</v>
      </c>
      <c r="C244" s="2" t="s">
        <v>15</v>
      </c>
      <c r="D244" s="10">
        <v>6.4310928750000151</v>
      </c>
      <c r="E244" s="10">
        <v>12.204462374999999</v>
      </c>
      <c r="F244" s="10">
        <v>1.3548749999999998</v>
      </c>
      <c r="G244" s="10">
        <v>15.114000000000001</v>
      </c>
      <c r="H244" s="10">
        <v>209.39205396825361</v>
      </c>
      <c r="I244" s="10">
        <v>2.7505103999999996</v>
      </c>
      <c r="J244" s="10">
        <v>66.286010057142761</v>
      </c>
      <c r="K244" s="10">
        <v>67.732625999999954</v>
      </c>
      <c r="L244" s="11">
        <v>378.20000000000005</v>
      </c>
      <c r="M244" s="11">
        <v>77.72</v>
      </c>
      <c r="N244" s="11">
        <v>9.6832708333333439</v>
      </c>
      <c r="O244" s="11">
        <v>14.727454166666686</v>
      </c>
    </row>
    <row r="245" spans="1:15">
      <c r="A245" s="1" t="s">
        <v>36</v>
      </c>
      <c r="B245" s="1" t="s">
        <v>42</v>
      </c>
      <c r="C245" s="2" t="s">
        <v>16</v>
      </c>
      <c r="D245" s="10">
        <v>6.2207358750000132</v>
      </c>
      <c r="E245" s="10">
        <v>15.750480375</v>
      </c>
      <c r="F245" s="10">
        <v>1.6080749999999999</v>
      </c>
      <c r="G245" s="10">
        <v>18.291</v>
      </c>
      <c r="H245" s="10">
        <v>163.7047587301584</v>
      </c>
      <c r="I245" s="10">
        <v>5.8610617999999999</v>
      </c>
      <c r="J245" s="10">
        <v>53.472926057142779</v>
      </c>
      <c r="K245" s="10">
        <v>79.121405999999951</v>
      </c>
      <c r="L245" s="11">
        <v>464.59999999999997</v>
      </c>
      <c r="M245" s="11">
        <v>94.02000000000001</v>
      </c>
      <c r="N245" s="11">
        <v>5.4196708333333437</v>
      </c>
      <c r="O245" s="11">
        <v>7.9121541666666735</v>
      </c>
    </row>
    <row r="246" spans="1:15">
      <c r="A246" s="1" t="s">
        <v>36</v>
      </c>
      <c r="B246" s="1" t="s">
        <v>42</v>
      </c>
      <c r="C246" s="2" t="s">
        <v>18</v>
      </c>
      <c r="D246" s="10">
        <v>7.1694888750000132</v>
      </c>
      <c r="E246" s="10">
        <v>15.849219375000001</v>
      </c>
      <c r="F246" s="10">
        <v>1.474275</v>
      </c>
      <c r="G246" s="10">
        <v>15.782999999999999</v>
      </c>
      <c r="H246" s="10">
        <v>147.96051111111078</v>
      </c>
      <c r="I246" s="10">
        <v>5.1450366000000001</v>
      </c>
      <c r="J246" s="10">
        <v>62.188310057142779</v>
      </c>
      <c r="K246" s="10">
        <v>85.649465999999947</v>
      </c>
      <c r="L246" s="11">
        <v>304.5</v>
      </c>
      <c r="M246" s="11">
        <v>133.65999999999997</v>
      </c>
      <c r="N246" s="11">
        <v>6.0333708333333451</v>
      </c>
      <c r="O246" s="11">
        <v>12.111154166666683</v>
      </c>
    </row>
    <row r="247" spans="1:15">
      <c r="A247" s="1" t="s">
        <v>36</v>
      </c>
      <c r="B247" s="1" t="s">
        <v>42</v>
      </c>
      <c r="C247" s="2" t="s">
        <v>19</v>
      </c>
      <c r="D247" s="10">
        <v>5.8472448750000137</v>
      </c>
      <c r="E247" s="10">
        <v>12.779724375000001</v>
      </c>
      <c r="F247" s="10">
        <v>1.456275</v>
      </c>
      <c r="G247" s="10">
        <v>13.188000000000001</v>
      </c>
      <c r="H247" s="10">
        <v>167.66496825396791</v>
      </c>
      <c r="I247" s="10">
        <v>6.9026452000000003</v>
      </c>
      <c r="J247" s="10">
        <v>20.832626057142836</v>
      </c>
      <c r="K247" s="10">
        <v>76.959515999999951</v>
      </c>
      <c r="L247" s="11">
        <v>248.7</v>
      </c>
      <c r="M247" s="11">
        <v>132.99999999999997</v>
      </c>
      <c r="N247" s="11">
        <v>6.4532708333333444</v>
      </c>
      <c r="O247" s="11">
        <v>8.2674541666666741</v>
      </c>
    </row>
    <row r="248" spans="1:15">
      <c r="A248" s="1" t="s">
        <v>36</v>
      </c>
      <c r="B248" s="1" t="s">
        <v>42</v>
      </c>
      <c r="C248" s="2" t="s">
        <v>20</v>
      </c>
      <c r="D248" s="10">
        <v>5.9159328750000144</v>
      </c>
      <c r="E248" s="10">
        <v>13.599687375000002</v>
      </c>
      <c r="F248" s="10">
        <v>1.3356749999999999</v>
      </c>
      <c r="G248" s="10">
        <v>14.475000000000001</v>
      </c>
      <c r="H248" s="10">
        <v>227.35788253968221</v>
      </c>
      <c r="I248" s="10">
        <v>4.3661310000000002</v>
      </c>
      <c r="J248" s="10">
        <v>53.99856205714277</v>
      </c>
      <c r="K248" s="10">
        <v>87.599405999999959</v>
      </c>
      <c r="L248" s="11">
        <v>241.39999999999998</v>
      </c>
      <c r="M248" s="11">
        <v>83.22</v>
      </c>
      <c r="N248" s="11">
        <v>4.3537708333333436</v>
      </c>
      <c r="O248" s="11">
        <v>10.657654166666678</v>
      </c>
    </row>
    <row r="249" spans="1:15">
      <c r="A249" s="1" t="s">
        <v>36</v>
      </c>
      <c r="B249" s="1" t="s">
        <v>42</v>
      </c>
      <c r="C249" s="2" t="s">
        <v>22</v>
      </c>
      <c r="D249" s="10">
        <v>6.714430875000013</v>
      </c>
      <c r="E249" s="10">
        <v>13.251954374999999</v>
      </c>
      <c r="F249" s="10">
        <v>1.3614749999999998</v>
      </c>
      <c r="G249" s="10">
        <v>15.603000000000002</v>
      </c>
      <c r="H249" s="10">
        <v>275.94289206349168</v>
      </c>
      <c r="I249" s="10">
        <v>3.1237359999999996</v>
      </c>
      <c r="J249" s="10">
        <v>81.377496000000008</v>
      </c>
      <c r="K249" s="10">
        <v>87.076595999999952</v>
      </c>
      <c r="L249" s="11">
        <v>293.3</v>
      </c>
      <c r="M249" s="11">
        <v>110.93999999999998</v>
      </c>
      <c r="N249" s="11">
        <v>6.2917708333333442</v>
      </c>
      <c r="O249" s="11">
        <v>10.528454166666675</v>
      </c>
    </row>
    <row r="250" spans="1:15">
      <c r="A250" s="1" t="s">
        <v>36</v>
      </c>
      <c r="B250" s="1" t="s">
        <v>42</v>
      </c>
      <c r="C250" s="2" t="s">
        <v>23</v>
      </c>
      <c r="D250" s="10">
        <v>6.456850875000014</v>
      </c>
      <c r="E250" s="10">
        <v>14.552733374999999</v>
      </c>
      <c r="F250" s="10">
        <v>1.3872749999999998</v>
      </c>
      <c r="G250" s="10">
        <v>14.735999999999999</v>
      </c>
      <c r="H250" s="10">
        <v>180.51150158730127</v>
      </c>
      <c r="I250" s="10">
        <v>6.5040646000000013</v>
      </c>
      <c r="J250" s="10">
        <v>44.836670057142776</v>
      </c>
      <c r="K250" s="10">
        <v>81.622415999999959</v>
      </c>
      <c r="L250" s="11">
        <v>318.10000000000002</v>
      </c>
      <c r="M250" s="11">
        <v>104.31999999999998</v>
      </c>
      <c r="N250" s="11">
        <v>4.6444708333333464</v>
      </c>
      <c r="O250" s="11">
        <v>11.885054166666677</v>
      </c>
    </row>
    <row r="251" spans="1:15">
      <c r="A251" s="1" t="s">
        <v>36</v>
      </c>
      <c r="B251" s="1" t="s">
        <v>42</v>
      </c>
      <c r="C251" s="2" t="s">
        <v>24</v>
      </c>
      <c r="D251" s="10">
        <v>7.8563688750000136</v>
      </c>
      <c r="E251" s="10">
        <v>10.843581374999999</v>
      </c>
      <c r="F251" s="10">
        <v>1.5354749999999999</v>
      </c>
      <c r="G251" s="10">
        <v>16.584000000000003</v>
      </c>
      <c r="H251" s="10">
        <v>184.18193968253934</v>
      </c>
      <c r="I251" s="10">
        <v>3.6389495999999997</v>
      </c>
      <c r="J251" s="10">
        <v>42.541958057142779</v>
      </c>
      <c r="K251" s="10">
        <v>78.838805999999948</v>
      </c>
      <c r="L251" s="11">
        <v>217.39999999999998</v>
      </c>
      <c r="M251" s="11">
        <v>99.62</v>
      </c>
      <c r="N251" s="11">
        <v>4.1276708333333438</v>
      </c>
      <c r="O251" s="11">
        <v>11.012954166666674</v>
      </c>
    </row>
    <row r="252" spans="1:15">
      <c r="A252" s="1" t="s">
        <v>36</v>
      </c>
      <c r="B252" s="1" t="s">
        <v>42</v>
      </c>
      <c r="C252" s="2" t="s">
        <v>26</v>
      </c>
      <c r="D252" s="10">
        <v>7.4485338750000132</v>
      </c>
      <c r="E252" s="10">
        <v>13.719891374999998</v>
      </c>
      <c r="F252" s="10">
        <v>1.508475</v>
      </c>
      <c r="G252" s="10">
        <v>15.33</v>
      </c>
      <c r="H252" s="10">
        <v>270.05087301587264</v>
      </c>
      <c r="I252" s="10">
        <v>9.2312483999999984</v>
      </c>
      <c r="J252" s="10">
        <v>42.027626057142776</v>
      </c>
      <c r="K252" s="10">
        <v>66.955475999999962</v>
      </c>
      <c r="L252" s="11">
        <v>216.39999999999998</v>
      </c>
      <c r="M252" s="11">
        <v>88.98</v>
      </c>
      <c r="N252" s="11">
        <v>5.387370833333347</v>
      </c>
      <c r="O252" s="11">
        <v>7.4922541666666742</v>
      </c>
    </row>
    <row r="253" spans="1:15">
      <c r="A253" s="1" t="s">
        <v>36</v>
      </c>
      <c r="B253" s="1" t="s">
        <v>42</v>
      </c>
      <c r="C253" s="2" t="s">
        <v>27</v>
      </c>
      <c r="D253" s="10">
        <v>7.1008008750000142</v>
      </c>
      <c r="E253" s="10">
        <v>14.698695375000002</v>
      </c>
      <c r="F253" s="10">
        <v>1.210275</v>
      </c>
      <c r="G253" s="10">
        <v>15.804000000000002</v>
      </c>
      <c r="H253" s="10">
        <v>152.79003492063461</v>
      </c>
      <c r="I253" s="10">
        <v>7.2129903999999998</v>
      </c>
      <c r="J253" s="10">
        <v>32.814866057142773</v>
      </c>
      <c r="K253" s="10">
        <v>71.717285999999945</v>
      </c>
      <c r="L253" s="11">
        <v>289.59999999999997</v>
      </c>
      <c r="M253" s="11">
        <v>145.78</v>
      </c>
      <c r="N253" s="11">
        <v>4.7413708333333444</v>
      </c>
      <c r="O253" s="11">
        <v>9.8178541666666774</v>
      </c>
    </row>
    <row r="254" spans="1:15">
      <c r="A254" s="1" t="s">
        <v>36</v>
      </c>
      <c r="B254" s="1" t="s">
        <v>43</v>
      </c>
      <c r="C254" s="2" t="s">
        <v>4</v>
      </c>
      <c r="D254" s="10">
        <v>6.8965256249999856</v>
      </c>
      <c r="E254" s="10">
        <v>11.727939374999998</v>
      </c>
      <c r="F254" s="10">
        <v>1.8658750000000022</v>
      </c>
      <c r="G254" s="10">
        <v>8.2318636363636504</v>
      </c>
      <c r="H254" s="10">
        <v>273.31885079365117</v>
      </c>
      <c r="I254" s="10">
        <v>5.0728593666666644</v>
      </c>
      <c r="J254" s="10">
        <v>48.999637199999817</v>
      </c>
      <c r="K254" s="10">
        <v>94.506621000000052</v>
      </c>
      <c r="L254" s="11">
        <v>281.5</v>
      </c>
      <c r="M254" s="11">
        <v>25.68</v>
      </c>
      <c r="N254" s="11">
        <v>5.446587499999989</v>
      </c>
      <c r="O254" s="11">
        <v>8.5756499999999853</v>
      </c>
    </row>
    <row r="255" spans="1:15">
      <c r="A255" s="1" t="s">
        <v>36</v>
      </c>
      <c r="B255" s="1" t="s">
        <v>43</v>
      </c>
      <c r="C255" s="2" t="s">
        <v>6</v>
      </c>
      <c r="D255" s="10">
        <v>5.7674666249999857</v>
      </c>
      <c r="E255" s="10">
        <v>12.131481375</v>
      </c>
      <c r="F255" s="10">
        <v>1.3834750000000018</v>
      </c>
      <c r="G255" s="10">
        <v>8.7988636363636505</v>
      </c>
      <c r="H255" s="10">
        <v>162.33639365079404</v>
      </c>
      <c r="I255" s="10">
        <v>5.926815766666663</v>
      </c>
      <c r="J255" s="10">
        <v>32.761441199999815</v>
      </c>
      <c r="K255" s="10">
        <v>70.99430100000005</v>
      </c>
      <c r="L255" s="11">
        <v>313.20000000000005</v>
      </c>
      <c r="M255" s="11">
        <v>22.639999999999997</v>
      </c>
      <c r="N255" s="11">
        <v>5.2850874999999897</v>
      </c>
      <c r="O255" s="11">
        <v>7.8327499999999972</v>
      </c>
    </row>
    <row r="256" spans="1:15">
      <c r="A256" s="1" t="s">
        <v>36</v>
      </c>
      <c r="B256" s="1" t="s">
        <v>43</v>
      </c>
      <c r="C256" s="2" t="s">
        <v>7</v>
      </c>
      <c r="D256" s="10">
        <v>6.2311106249999844</v>
      </c>
      <c r="E256" s="10">
        <v>13.385037375</v>
      </c>
      <c r="F256" s="10">
        <v>1.4284750000000019</v>
      </c>
      <c r="G256" s="10">
        <v>15.179863636363651</v>
      </c>
      <c r="H256" s="10">
        <v>111.62639365079397</v>
      </c>
      <c r="I256" s="10">
        <v>6.129655766666664</v>
      </c>
      <c r="J256" s="10">
        <v>53.419501199999807</v>
      </c>
      <c r="K256" s="10">
        <v>83.329791000000057</v>
      </c>
      <c r="L256" s="11">
        <v>342.8</v>
      </c>
      <c r="M256" s="11">
        <v>95.44</v>
      </c>
      <c r="N256" s="11">
        <v>6.4155874999999893</v>
      </c>
      <c r="O256" s="11">
        <v>16.327649999999998</v>
      </c>
    </row>
    <row r="257" spans="1:15">
      <c r="A257" s="1" t="s">
        <v>36</v>
      </c>
      <c r="B257" s="1" t="s">
        <v>43</v>
      </c>
      <c r="C257" s="2" t="s">
        <v>8</v>
      </c>
      <c r="D257" s="10">
        <v>5.7631736249999852</v>
      </c>
      <c r="E257" s="10">
        <v>14.054745375</v>
      </c>
      <c r="F257" s="10">
        <v>1.424275000000002</v>
      </c>
      <c r="G257" s="10">
        <v>10.832863636363651</v>
      </c>
      <c r="H257" s="10">
        <v>160.40458412698447</v>
      </c>
      <c r="I257" s="10">
        <v>7.6905095666666643</v>
      </c>
      <c r="J257" s="10">
        <v>39.764269199999816</v>
      </c>
      <c r="K257" s="10">
        <v>40.572411000000059</v>
      </c>
      <c r="L257" s="11">
        <v>314.99999999999994</v>
      </c>
      <c r="M257" s="11">
        <v>42.839999999999996</v>
      </c>
      <c r="N257" s="11">
        <v>5.5111874999999895</v>
      </c>
      <c r="O257" s="11">
        <v>7.832749999999999</v>
      </c>
    </row>
    <row r="258" spans="1:15">
      <c r="A258" s="1" t="s">
        <v>36</v>
      </c>
      <c r="B258" s="1" t="s">
        <v>43</v>
      </c>
      <c r="C258" s="2" t="s">
        <v>10</v>
      </c>
      <c r="D258" s="10">
        <v>6.2354036249999858</v>
      </c>
      <c r="E258" s="10">
        <v>11.071110374999998</v>
      </c>
      <c r="F258" s="10">
        <v>1.446475000000002</v>
      </c>
      <c r="G258" s="10">
        <v>8.3938636363636512</v>
      </c>
      <c r="H258" s="10">
        <v>161.56366984127015</v>
      </c>
      <c r="I258" s="10">
        <v>4.1479089666666624</v>
      </c>
      <c r="J258" s="10">
        <v>36.921313199999815</v>
      </c>
      <c r="K258" s="10">
        <v>72.958371000000042</v>
      </c>
      <c r="L258" s="11">
        <v>307.90000000000009</v>
      </c>
      <c r="M258" s="11">
        <v>55.1</v>
      </c>
      <c r="N258" s="11">
        <v>4.2837874999999892</v>
      </c>
      <c r="O258" s="11">
        <v>9.4800499999999879</v>
      </c>
    </row>
    <row r="259" spans="1:15">
      <c r="A259" s="1" t="s">
        <v>36</v>
      </c>
      <c r="B259" s="1" t="s">
        <v>43</v>
      </c>
      <c r="C259" s="2" t="s">
        <v>11</v>
      </c>
      <c r="D259" s="10">
        <v>5.9735306249999853</v>
      </c>
      <c r="E259" s="10">
        <v>12.359010374999999</v>
      </c>
      <c r="F259" s="10">
        <v>1.1362750000000019</v>
      </c>
      <c r="G259" s="10">
        <v>6.9388636363636493</v>
      </c>
      <c r="H259" s="10">
        <v>161.7568507936511</v>
      </c>
      <c r="I259" s="10">
        <v>4.9268145666666623</v>
      </c>
      <c r="J259" s="10">
        <v>56.352889199999808</v>
      </c>
      <c r="K259" s="10">
        <v>68.592201000000045</v>
      </c>
      <c r="L259" s="11">
        <v>344.9</v>
      </c>
      <c r="M259" s="11">
        <v>43.900000000000006</v>
      </c>
      <c r="N259" s="11">
        <v>6.5770874999999895</v>
      </c>
      <c r="O259" s="11">
        <v>7.5420499999999997</v>
      </c>
    </row>
    <row r="260" spans="1:15">
      <c r="A260" s="1" t="s">
        <v>36</v>
      </c>
      <c r="B260" s="1" t="s">
        <v>43</v>
      </c>
      <c r="C260" s="2" t="s">
        <v>12</v>
      </c>
      <c r="D260" s="10">
        <v>5.7588806249999855</v>
      </c>
      <c r="E260" s="10">
        <v>13.299177375000001</v>
      </c>
      <c r="F260" s="10">
        <v>1.3120750000000019</v>
      </c>
      <c r="G260" s="10">
        <v>9.8308636363636506</v>
      </c>
      <c r="H260" s="10">
        <v>342.67081269841304</v>
      </c>
      <c r="I260" s="10">
        <v>5.8436513666666627</v>
      </c>
      <c r="J260" s="10">
        <v>34.123573199999811</v>
      </c>
      <c r="K260" s="10">
        <v>33.267201000000043</v>
      </c>
      <c r="L260" s="11">
        <v>271.90000000000003</v>
      </c>
      <c r="M260" s="11">
        <v>61.660000000000004</v>
      </c>
      <c r="N260" s="11">
        <v>4.92978749999999</v>
      </c>
      <c r="O260" s="11">
        <v>10.384449999999989</v>
      </c>
    </row>
    <row r="261" spans="1:15">
      <c r="A261" s="1" t="s">
        <v>36</v>
      </c>
      <c r="B261" s="1" t="s">
        <v>43</v>
      </c>
      <c r="C261" s="2" t="s">
        <v>14</v>
      </c>
      <c r="D261" s="10">
        <v>5.5141796249999846</v>
      </c>
      <c r="E261" s="10">
        <v>13.071648375000001</v>
      </c>
      <c r="F261" s="10">
        <v>1.198075000000002</v>
      </c>
      <c r="G261" s="10">
        <v>11.91586363636365</v>
      </c>
      <c r="H261" s="10">
        <v>167.84205079365111</v>
      </c>
      <c r="I261" s="10">
        <v>4.704704766666663</v>
      </c>
      <c r="J261" s="10">
        <v>37.944325199999817</v>
      </c>
      <c r="K261" s="10">
        <v>70.287801000000044</v>
      </c>
      <c r="L261" s="11">
        <v>342.19999999999993</v>
      </c>
      <c r="M261" s="11">
        <v>43.58</v>
      </c>
      <c r="N261" s="11">
        <v>6.2540874999999891</v>
      </c>
      <c r="O261" s="11">
        <v>11.224249999999989</v>
      </c>
    </row>
    <row r="262" spans="1:15">
      <c r="A262" s="1" t="s">
        <v>36</v>
      </c>
      <c r="B262" s="1" t="s">
        <v>43</v>
      </c>
      <c r="C262" s="2" t="s">
        <v>15</v>
      </c>
      <c r="D262" s="10">
        <v>5.1192236249999858</v>
      </c>
      <c r="E262" s="10">
        <v>13.981764374999999</v>
      </c>
      <c r="F262" s="10">
        <v>1.373875000000002</v>
      </c>
      <c r="G262" s="10">
        <v>12.560863636363651</v>
      </c>
      <c r="H262" s="10">
        <v>146.78532698412727</v>
      </c>
      <c r="I262" s="10">
        <v>5.176307766666663</v>
      </c>
      <c r="J262" s="10">
        <v>58.034735999999995</v>
      </c>
      <c r="K262" s="10">
        <v>82.171131000000059</v>
      </c>
      <c r="L262" s="11">
        <v>362.70000000000005</v>
      </c>
      <c r="M262" s="11">
        <v>68.239999999999995</v>
      </c>
      <c r="N262" s="11">
        <v>4.0899874999999897</v>
      </c>
      <c r="O262" s="11">
        <v>8.446449999999988</v>
      </c>
    </row>
    <row r="263" spans="1:15">
      <c r="A263" s="1" t="s">
        <v>36</v>
      </c>
      <c r="B263" s="1" t="s">
        <v>43</v>
      </c>
      <c r="C263" s="2" t="s">
        <v>16</v>
      </c>
      <c r="D263" s="10">
        <v>6.8106656249999853</v>
      </c>
      <c r="E263" s="10">
        <v>9.2809293749999995</v>
      </c>
      <c r="F263" s="10">
        <v>1.3486750000000018</v>
      </c>
      <c r="G263" s="10">
        <v>6.5938636363636487</v>
      </c>
      <c r="H263" s="10">
        <v>153.16029841269875</v>
      </c>
      <c r="I263" s="10">
        <v>3.9136287666666636</v>
      </c>
      <c r="J263" s="10">
        <v>33.298381199999817</v>
      </c>
      <c r="K263" s="10">
        <v>102.82919100000005</v>
      </c>
      <c r="L263" s="11">
        <v>343.00000000000006</v>
      </c>
      <c r="M263" s="11">
        <v>49.28</v>
      </c>
      <c r="N263" s="11">
        <v>5.3496874999999893</v>
      </c>
      <c r="O263" s="11">
        <v>11.062749999999985</v>
      </c>
    </row>
    <row r="264" spans="1:15">
      <c r="A264" s="1" t="s">
        <v>36</v>
      </c>
      <c r="B264" s="1" t="s">
        <v>43</v>
      </c>
      <c r="C264" s="2" t="s">
        <v>18</v>
      </c>
      <c r="D264" s="10">
        <v>6.102320624999984</v>
      </c>
      <c r="E264" s="10">
        <v>12.264564375000001</v>
      </c>
      <c r="F264" s="10">
        <v>1.2796750000000019</v>
      </c>
      <c r="G264" s="10">
        <v>8.6668636363636491</v>
      </c>
      <c r="H264" s="10">
        <v>151.03530793650825</v>
      </c>
      <c r="I264" s="10">
        <v>7.0322937666666627</v>
      </c>
      <c r="J264" s="10">
        <v>65.509129199999819</v>
      </c>
      <c r="K264" s="10">
        <v>84.940611000000047</v>
      </c>
      <c r="L264" s="11">
        <v>348.7</v>
      </c>
      <c r="M264" s="11">
        <v>50.140000000000008</v>
      </c>
      <c r="N264" s="11">
        <v>5.4788874999999901</v>
      </c>
      <c r="O264" s="11">
        <v>8.8986499999999982</v>
      </c>
    </row>
    <row r="265" spans="1:15">
      <c r="A265" s="1" t="s">
        <v>36</v>
      </c>
      <c r="B265" s="1" t="s">
        <v>43</v>
      </c>
      <c r="C265" s="2" t="s">
        <v>19</v>
      </c>
      <c r="D265" s="10">
        <v>6.0465116249999848</v>
      </c>
      <c r="E265" s="10">
        <v>15.866391374999999</v>
      </c>
      <c r="F265" s="10">
        <v>1.571275000000002</v>
      </c>
      <c r="G265" s="10">
        <v>16.01686363636362</v>
      </c>
      <c r="H265" s="10">
        <v>192.56921269841303</v>
      </c>
      <c r="I265" s="10">
        <v>5.3091679666666636</v>
      </c>
      <c r="J265" s="10">
        <v>35.321797199999814</v>
      </c>
      <c r="K265" s="10">
        <v>56.807781000000055</v>
      </c>
      <c r="L265" s="11">
        <v>635.40000000000009</v>
      </c>
      <c r="M265" s="11">
        <v>85.14</v>
      </c>
      <c r="N265" s="11">
        <v>4.7359874999999896</v>
      </c>
      <c r="O265" s="11">
        <v>8.86634999999999</v>
      </c>
    </row>
    <row r="266" spans="1:15">
      <c r="A266" s="1" t="s">
        <v>36</v>
      </c>
      <c r="B266" s="1" t="s">
        <v>43</v>
      </c>
      <c r="C266" s="2" t="s">
        <v>20</v>
      </c>
      <c r="D266" s="10">
        <v>6.4328816249999852</v>
      </c>
      <c r="E266" s="10">
        <v>12.573660374999998</v>
      </c>
      <c r="F266" s="10">
        <v>1.3588750000000021</v>
      </c>
      <c r="G266" s="10">
        <v>9.3298636363636511</v>
      </c>
      <c r="H266" s="10">
        <v>160.114812698413</v>
      </c>
      <c r="I266" s="10">
        <v>6.8040987666666641</v>
      </c>
      <c r="J266" s="10">
        <v>46.331893199999811</v>
      </c>
      <c r="K266" s="10">
        <v>78.257121000000055</v>
      </c>
      <c r="L266" s="11">
        <v>275.8</v>
      </c>
      <c r="M266" s="11">
        <v>57.760000000000005</v>
      </c>
      <c r="N266" s="11">
        <v>5.7372874999999901</v>
      </c>
      <c r="O266" s="11">
        <v>10.57824999999999</v>
      </c>
    </row>
    <row r="267" spans="1:15">
      <c r="A267" s="1" t="s">
        <v>36</v>
      </c>
      <c r="B267" s="1" t="s">
        <v>43</v>
      </c>
      <c r="C267" s="2" t="s">
        <v>22</v>
      </c>
      <c r="D267" s="10">
        <v>5.8404476249999853</v>
      </c>
      <c r="E267" s="10">
        <v>13.389330375</v>
      </c>
      <c r="F267" s="10">
        <v>1.4434750000000018</v>
      </c>
      <c r="G267" s="10">
        <v>15.470863636363653</v>
      </c>
      <c r="H267" s="10">
        <v>193.43852698412729</v>
      </c>
      <c r="I267" s="10">
        <v>5.0546037666666628</v>
      </c>
      <c r="J267" s="10">
        <v>46.67666519999981</v>
      </c>
      <c r="K267" s="10">
        <v>76.603911000000039</v>
      </c>
      <c r="L267" s="11">
        <v>489.40000000000003</v>
      </c>
      <c r="M267" s="11">
        <v>112.8</v>
      </c>
      <c r="N267" s="11">
        <v>4.5744874999999903</v>
      </c>
      <c r="O267" s="11">
        <v>8.9632499999999879</v>
      </c>
    </row>
    <row r="268" spans="1:15">
      <c r="A268" s="1" t="s">
        <v>36</v>
      </c>
      <c r="B268" s="1" t="s">
        <v>43</v>
      </c>
      <c r="C268" s="2" t="s">
        <v>23</v>
      </c>
      <c r="D268" s="10">
        <v>6.1538366249999852</v>
      </c>
      <c r="E268" s="10">
        <v>10.890804375000002</v>
      </c>
      <c r="F268" s="10">
        <v>1.458475000000002</v>
      </c>
      <c r="G268" s="10">
        <v>7.6768636363636515</v>
      </c>
      <c r="H268" s="10">
        <v>166.00683174603208</v>
      </c>
      <c r="I268" s="10">
        <v>4.4947653666666625</v>
      </c>
      <c r="J268" s="10">
        <v>40.402945199999813</v>
      </c>
      <c r="K268" s="10">
        <v>103.98785100000005</v>
      </c>
      <c r="L268" s="11">
        <v>248</v>
      </c>
      <c r="M268" s="11">
        <v>91.66</v>
      </c>
      <c r="N268" s="11">
        <v>5.478887499999999</v>
      </c>
      <c r="O268" s="11">
        <v>11.611849999999988</v>
      </c>
    </row>
    <row r="269" spans="1:15">
      <c r="A269" s="1" t="s">
        <v>36</v>
      </c>
      <c r="B269" s="1" t="s">
        <v>43</v>
      </c>
      <c r="C269" s="2" t="s">
        <v>24</v>
      </c>
      <c r="D269" s="10">
        <v>6.6174806249999856</v>
      </c>
      <c r="E269" s="10">
        <v>9.4698213750000004</v>
      </c>
      <c r="F269" s="10">
        <v>1.318675000000002</v>
      </c>
      <c r="G269" s="10">
        <v>6.7528636363636503</v>
      </c>
      <c r="H269" s="10">
        <v>141.08648888888922</v>
      </c>
      <c r="I269" s="10">
        <v>3.7645413666666636</v>
      </c>
      <c r="J269" s="10">
        <v>27.28465319999998</v>
      </c>
      <c r="K269" s="10">
        <v>90.592611000000048</v>
      </c>
      <c r="L269" s="11">
        <v>323.5</v>
      </c>
      <c r="M269" s="11">
        <v>65.080000000000013</v>
      </c>
      <c r="N269" s="11">
        <v>5.446587499999989</v>
      </c>
      <c r="O269" s="11">
        <v>13.226849999999985</v>
      </c>
    </row>
    <row r="270" spans="1:15">
      <c r="A270" s="1" t="s">
        <v>36</v>
      </c>
      <c r="B270" s="1" t="s">
        <v>43</v>
      </c>
      <c r="C270" s="2" t="s">
        <v>26</v>
      </c>
      <c r="D270" s="10">
        <v>6.8707676249999858</v>
      </c>
      <c r="E270" s="10">
        <v>12.766845374999999</v>
      </c>
      <c r="F270" s="10">
        <v>1.9258750000000022</v>
      </c>
      <c r="G270" s="10">
        <v>10.874863636363651</v>
      </c>
      <c r="H270" s="10">
        <v>372.32408888888926</v>
      </c>
      <c r="I270" s="10">
        <v>6.7777295666666637</v>
      </c>
      <c r="J270" s="10">
        <v>35.022241199999812</v>
      </c>
      <c r="K270" s="10">
        <v>61.640241000000039</v>
      </c>
      <c r="L270" s="11">
        <v>324.2999999999999</v>
      </c>
      <c r="M270" s="11">
        <v>44.7</v>
      </c>
      <c r="N270" s="11">
        <v>8.9026874999999883</v>
      </c>
      <c r="O270" s="11">
        <v>8.801749999999986</v>
      </c>
    </row>
    <row r="271" spans="1:15">
      <c r="A271" s="1" t="s">
        <v>36</v>
      </c>
      <c r="B271" s="1" t="s">
        <v>43</v>
      </c>
      <c r="C271" s="2" t="s">
        <v>27</v>
      </c>
      <c r="D271" s="10">
        <v>5.4369056249999854</v>
      </c>
      <c r="E271" s="10">
        <v>11.264295375</v>
      </c>
      <c r="F271" s="10">
        <v>1.254475000000002</v>
      </c>
      <c r="G271" s="10">
        <v>8.1988636363636491</v>
      </c>
      <c r="H271" s="10">
        <v>222.22248888888922</v>
      </c>
      <c r="I271" s="10">
        <v>6.1479113666666638</v>
      </c>
      <c r="J271" s="10">
        <v>40.26729719999981</v>
      </c>
      <c r="K271" s="10">
        <v>89.787201000000053</v>
      </c>
      <c r="L271" s="11">
        <v>310.2</v>
      </c>
      <c r="M271" s="11">
        <v>64.36</v>
      </c>
      <c r="N271" s="11">
        <v>7.9013874999999896</v>
      </c>
      <c r="O271" s="11">
        <v>12.064049999999988</v>
      </c>
    </row>
    <row r="272" spans="1:15">
      <c r="A272" s="1" t="s">
        <v>36</v>
      </c>
      <c r="B272" s="1" t="s">
        <v>44</v>
      </c>
      <c r="C272" s="2" t="s">
        <v>4</v>
      </c>
      <c r="D272" s="10">
        <v>5.3038226249999862</v>
      </c>
      <c r="E272" s="10">
        <v>9.4354773750000014</v>
      </c>
      <c r="F272" s="10">
        <v>1.032475000000002</v>
      </c>
      <c r="G272" s="10">
        <v>10.805863636363652</v>
      </c>
      <c r="H272" s="10">
        <v>73.296073015872693</v>
      </c>
      <c r="I272" s="10">
        <v>19.095357599999996</v>
      </c>
      <c r="J272" s="10">
        <v>58.718251199999806</v>
      </c>
      <c r="K272" s="10">
        <v>73.930986000000004</v>
      </c>
      <c r="L272" s="11">
        <v>96.800000000000011</v>
      </c>
      <c r="M272" s="11">
        <v>90.120000000000019</v>
      </c>
      <c r="N272" s="11">
        <v>4.9943874999999895</v>
      </c>
      <c r="O272" s="11">
        <v>7.4774499999999859</v>
      </c>
    </row>
    <row r="273" spans="1:15">
      <c r="A273" s="1" t="s">
        <v>36</v>
      </c>
      <c r="B273" s="1" t="s">
        <v>44</v>
      </c>
      <c r="C273" s="2" t="s">
        <v>6</v>
      </c>
      <c r="D273" s="10">
        <v>4.2777956249999862</v>
      </c>
      <c r="E273" s="10">
        <v>14.295153375</v>
      </c>
      <c r="F273" s="10">
        <v>1.1260750000000017</v>
      </c>
      <c r="G273" s="10">
        <v>18.017863636363654</v>
      </c>
      <c r="H273" s="10">
        <v>176.7444730158727</v>
      </c>
      <c r="I273" s="10">
        <v>9.0804706666666632</v>
      </c>
      <c r="J273" s="10">
        <v>35.488531199999819</v>
      </c>
      <c r="K273" s="10">
        <v>60.323795999999994</v>
      </c>
      <c r="L273" s="11">
        <v>406.9</v>
      </c>
      <c r="M273" s="11">
        <v>50.72</v>
      </c>
      <c r="N273" s="11">
        <v>4.80058749999999</v>
      </c>
      <c r="O273" s="11">
        <v>6.1208499999999892</v>
      </c>
    </row>
    <row r="274" spans="1:15">
      <c r="A274" s="1" t="s">
        <v>36</v>
      </c>
      <c r="B274" s="1" t="s">
        <v>44</v>
      </c>
      <c r="C274" s="2" t="s">
        <v>7</v>
      </c>
      <c r="D274" s="10">
        <v>4.9517966249999867</v>
      </c>
      <c r="E274" s="10">
        <v>13.294884374999999</v>
      </c>
      <c r="F274" s="10">
        <v>1.1992750000000019</v>
      </c>
      <c r="G274" s="10">
        <v>12.977863636363647</v>
      </c>
      <c r="H274" s="10">
        <v>104.88115873015839</v>
      </c>
      <c r="I274" s="10">
        <v>8.361402866666662</v>
      </c>
      <c r="J274" s="10">
        <v>35.612875199999813</v>
      </c>
      <c r="K274" s="10">
        <v>87.905556000000004</v>
      </c>
      <c r="L274" s="11">
        <v>70.200000000000017</v>
      </c>
      <c r="M274" s="11">
        <v>80.2</v>
      </c>
      <c r="N274" s="11">
        <v>4.9943874999999895</v>
      </c>
      <c r="O274" s="11">
        <v>11.030449999999989</v>
      </c>
    </row>
    <row r="275" spans="1:15">
      <c r="A275" s="1" t="s">
        <v>36</v>
      </c>
      <c r="B275" s="1" t="s">
        <v>44</v>
      </c>
      <c r="C275" s="2" t="s">
        <v>8</v>
      </c>
      <c r="D275" s="10">
        <v>4.548254624999986</v>
      </c>
      <c r="E275" s="10">
        <v>10.834995375</v>
      </c>
      <c r="F275" s="10">
        <v>0.97127500000000189</v>
      </c>
      <c r="G275" s="10">
        <v>12.584863636363648</v>
      </c>
      <c r="H275" s="10">
        <v>109.61409206349173</v>
      </c>
      <c r="I275" s="10">
        <v>7.3380750666666632</v>
      </c>
      <c r="J275" s="10">
        <v>32.882959199999817</v>
      </c>
      <c r="K275" s="10">
        <v>121.549086</v>
      </c>
      <c r="L275" s="11">
        <v>60.099999999999994</v>
      </c>
      <c r="M275" s="11">
        <v>76.039999999999992</v>
      </c>
      <c r="N275" s="11">
        <v>6.0279874999999903</v>
      </c>
      <c r="O275" s="11">
        <v>10.029149999999985</v>
      </c>
    </row>
    <row r="276" spans="1:15">
      <c r="A276" s="1" t="s">
        <v>36</v>
      </c>
      <c r="B276" s="1" t="s">
        <v>44</v>
      </c>
      <c r="C276" s="2" t="s">
        <v>10</v>
      </c>
      <c r="D276" s="10">
        <v>5.0677076249999864</v>
      </c>
      <c r="E276" s="10">
        <v>9.5428023749999991</v>
      </c>
      <c r="F276" s="10">
        <v>0.89387500000000197</v>
      </c>
      <c r="G276" s="10">
        <v>9.1678636363636503</v>
      </c>
      <c r="H276" s="10">
        <v>229.48287301587266</v>
      </c>
      <c r="I276" s="10">
        <v>6.6900012666666635</v>
      </c>
      <c r="J276" s="10">
        <v>48.618127199999819</v>
      </c>
      <c r="K276" s="10">
        <v>65.664936000000012</v>
      </c>
      <c r="L276" s="11">
        <v>59.3</v>
      </c>
      <c r="M276" s="11">
        <v>69</v>
      </c>
      <c r="N276" s="11">
        <v>5.2527874999999895</v>
      </c>
      <c r="O276" s="11">
        <v>12.451649999999988</v>
      </c>
    </row>
    <row r="277" spans="1:15">
      <c r="A277" s="1" t="s">
        <v>36</v>
      </c>
      <c r="B277" s="1" t="s">
        <v>44</v>
      </c>
      <c r="C277" s="2" t="s">
        <v>11</v>
      </c>
      <c r="D277" s="10">
        <v>5.7975176249999851</v>
      </c>
      <c r="E277" s="10">
        <v>11.779455375</v>
      </c>
      <c r="F277" s="10">
        <v>1.3102750000000019</v>
      </c>
      <c r="G277" s="10">
        <v>10.025863636363651</v>
      </c>
      <c r="H277" s="10">
        <v>147.67073968253933</v>
      </c>
      <c r="I277" s="10">
        <v>7.8847288666666637</v>
      </c>
      <c r="J277" s="10">
        <v>50.364595199999819</v>
      </c>
      <c r="K277" s="10">
        <v>89.360945999999998</v>
      </c>
      <c r="L277" s="11">
        <v>77.999999999999986</v>
      </c>
      <c r="M277" s="11">
        <v>103.88</v>
      </c>
      <c r="N277" s="11">
        <v>4.8651874999999905</v>
      </c>
      <c r="O277" s="11">
        <v>9.253949999999989</v>
      </c>
    </row>
    <row r="278" spans="1:15">
      <c r="A278" s="1" t="s">
        <v>36</v>
      </c>
      <c r="B278" s="1" t="s">
        <v>44</v>
      </c>
      <c r="C278" s="2" t="s">
        <v>12</v>
      </c>
      <c r="D278" s="10">
        <v>4.033094625000003</v>
      </c>
      <c r="E278" s="10">
        <v>16.145436374999999</v>
      </c>
      <c r="F278" s="10">
        <v>0.84467500000000184</v>
      </c>
      <c r="G278" s="10">
        <v>19.682863636363653</v>
      </c>
      <c r="H278" s="10">
        <v>159.06841587301557</v>
      </c>
      <c r="I278" s="10">
        <v>5.9212376666666637</v>
      </c>
      <c r="J278" s="10">
        <v>52.382359199999819</v>
      </c>
      <c r="K278" s="10">
        <v>68.943096000000011</v>
      </c>
      <c r="L278" s="11">
        <v>245.20000000000002</v>
      </c>
      <c r="M278" s="11">
        <v>49.8</v>
      </c>
      <c r="N278" s="11">
        <v>4.2514874999999899</v>
      </c>
      <c r="O278" s="11">
        <v>9.706149999999985</v>
      </c>
    </row>
    <row r="279" spans="1:15">
      <c r="A279" s="1" t="s">
        <v>36</v>
      </c>
      <c r="B279" s="1" t="s">
        <v>44</v>
      </c>
      <c r="C279" s="2" t="s">
        <v>14</v>
      </c>
      <c r="D279" s="10">
        <v>3.3333356249999988</v>
      </c>
      <c r="E279" s="10">
        <v>16.042404375</v>
      </c>
      <c r="F279" s="10">
        <v>0.96287500000000181</v>
      </c>
      <c r="G279" s="10">
        <v>17.150863636363653</v>
      </c>
      <c r="H279" s="10">
        <v>138.20487301587269</v>
      </c>
      <c r="I279" s="10">
        <v>6.5469990666666638</v>
      </c>
      <c r="J279" s="10">
        <v>54.360936000000002</v>
      </c>
      <c r="K279" s="10">
        <v>64.958436000000006</v>
      </c>
      <c r="L279" s="11">
        <v>328.79999999999995</v>
      </c>
      <c r="M279" s="11">
        <v>63.319999999999993</v>
      </c>
      <c r="N279" s="11">
        <v>6.6093874999999898</v>
      </c>
      <c r="O279" s="11">
        <v>7.0252499999999856</v>
      </c>
    </row>
    <row r="280" spans="1:15">
      <c r="A280" s="1" t="s">
        <v>36</v>
      </c>
      <c r="B280" s="1" t="s">
        <v>44</v>
      </c>
      <c r="C280" s="2" t="s">
        <v>15</v>
      </c>
      <c r="D280" s="10">
        <v>3.9043046250000026</v>
      </c>
      <c r="E280" s="10">
        <v>16.192659375000002</v>
      </c>
      <c r="F280" s="10">
        <v>0.94367500000000204</v>
      </c>
      <c r="G280" s="10">
        <v>19.37686363636362</v>
      </c>
      <c r="H280" s="10">
        <v>153.75593968253941</v>
      </c>
      <c r="I280" s="10">
        <v>7.2721520666666635</v>
      </c>
      <c r="J280" s="10">
        <v>46.43645519999982</v>
      </c>
      <c r="K280" s="10">
        <v>63.178055999999991</v>
      </c>
      <c r="L280" s="11">
        <v>225.39999999999998</v>
      </c>
      <c r="M280" s="11">
        <v>38.260000000000005</v>
      </c>
      <c r="N280" s="11">
        <v>5.8664874999999892</v>
      </c>
      <c r="O280" s="11">
        <v>9.6415499999999863</v>
      </c>
    </row>
    <row r="281" spans="1:15">
      <c r="A281" s="1" t="s">
        <v>36</v>
      </c>
      <c r="B281" s="1" t="s">
        <v>44</v>
      </c>
      <c r="C281" s="2" t="s">
        <v>16</v>
      </c>
      <c r="D281" s="10">
        <v>3.3118706249999992</v>
      </c>
      <c r="E281" s="10">
        <v>13.908783375000001</v>
      </c>
      <c r="F281" s="10">
        <v>0.98867500000000186</v>
      </c>
      <c r="G281" s="10">
        <v>13.24486363636365</v>
      </c>
      <c r="H281" s="10">
        <v>83.438073015872689</v>
      </c>
      <c r="I281" s="10">
        <v>14.308333599999999</v>
      </c>
      <c r="J281" s="10">
        <v>43.203511199999809</v>
      </c>
      <c r="K281" s="10">
        <v>75.386375999999998</v>
      </c>
      <c r="L281" s="11">
        <v>87.100000000000009</v>
      </c>
      <c r="M281" s="11">
        <v>67.06</v>
      </c>
      <c r="N281" s="11">
        <v>5.8018874999999852</v>
      </c>
      <c r="O281" s="11">
        <v>10.998149999999988</v>
      </c>
    </row>
    <row r="282" spans="1:15">
      <c r="A282" s="1" t="s">
        <v>36</v>
      </c>
      <c r="B282" s="1" t="s">
        <v>44</v>
      </c>
      <c r="C282" s="2" t="s">
        <v>18</v>
      </c>
      <c r="D282" s="10">
        <v>4.6512866249999849</v>
      </c>
      <c r="E282" s="10">
        <v>16.995450374999997</v>
      </c>
      <c r="F282" s="10">
        <v>0.85307500000000192</v>
      </c>
      <c r="G282" s="10">
        <v>20.705863636363624</v>
      </c>
      <c r="H282" s="10">
        <v>99.375501587301244</v>
      </c>
      <c r="I282" s="10">
        <v>6.7873644666666628</v>
      </c>
      <c r="J282" s="10">
        <v>33.549895199999817</v>
      </c>
      <c r="K282" s="10">
        <v>74.609225999999992</v>
      </c>
      <c r="L282" s="11">
        <v>1277.6000000000001</v>
      </c>
      <c r="M282" s="11">
        <v>14.240000000000004</v>
      </c>
      <c r="N282" s="11">
        <v>6.5124874999999891</v>
      </c>
      <c r="O282" s="11">
        <v>10.158349999999984</v>
      </c>
    </row>
    <row r="283" spans="1:15">
      <c r="A283" s="1" t="s">
        <v>36</v>
      </c>
      <c r="B283" s="1" t="s">
        <v>44</v>
      </c>
      <c r="C283" s="2" t="s">
        <v>19</v>
      </c>
      <c r="D283" s="10">
        <v>4.6512866249999849</v>
      </c>
      <c r="E283" s="10">
        <v>15.797703374999999</v>
      </c>
      <c r="F283" s="10">
        <v>1.049275000000002</v>
      </c>
      <c r="G283" s="10">
        <v>19.271863636363648</v>
      </c>
      <c r="H283" s="10">
        <v>125.06856825396792</v>
      </c>
      <c r="I283" s="10">
        <v>7.6169800666666641</v>
      </c>
      <c r="J283" s="10">
        <v>55.965727199999812</v>
      </c>
      <c r="K283" s="10">
        <v>60.931385999999996</v>
      </c>
      <c r="L283" s="11">
        <v>247.79999999999998</v>
      </c>
      <c r="M283" s="11">
        <v>36.940000000000005</v>
      </c>
      <c r="N283" s="11">
        <v>5.8664874999999892</v>
      </c>
      <c r="O283" s="11">
        <v>10.158349999999988</v>
      </c>
    </row>
    <row r="284" spans="1:15">
      <c r="A284" s="1" t="s">
        <v>36</v>
      </c>
      <c r="B284" s="1" t="s">
        <v>44</v>
      </c>
      <c r="C284" s="2" t="s">
        <v>20</v>
      </c>
      <c r="D284" s="10">
        <v>5.6172116249999862</v>
      </c>
      <c r="E284" s="10">
        <v>7.4907483749999999</v>
      </c>
      <c r="F284" s="10">
        <v>1.0444750000000018</v>
      </c>
      <c r="G284" s="10">
        <v>7.6468636363636513</v>
      </c>
      <c r="H284" s="10">
        <v>159.16500634920604</v>
      </c>
      <c r="I284" s="10">
        <v>4.4628180666666628</v>
      </c>
      <c r="J284" s="10">
        <v>48.759427199999813</v>
      </c>
      <c r="K284" s="10">
        <v>105.483276</v>
      </c>
      <c r="L284" s="11">
        <v>390.20000000000005</v>
      </c>
      <c r="M284" s="11">
        <v>99.58</v>
      </c>
      <c r="N284" s="11">
        <v>8.0951874999999891</v>
      </c>
      <c r="O284" s="11">
        <v>8.5433499999999896</v>
      </c>
    </row>
    <row r="285" spans="1:15">
      <c r="A285" s="1" t="s">
        <v>36</v>
      </c>
      <c r="B285" s="1" t="s">
        <v>44</v>
      </c>
      <c r="C285" s="2" t="s">
        <v>22</v>
      </c>
      <c r="D285" s="10">
        <v>4.5654266249999855</v>
      </c>
      <c r="E285" s="10">
        <v>11.487531374999998</v>
      </c>
      <c r="F285" s="10">
        <v>0.92807500000000198</v>
      </c>
      <c r="G285" s="10">
        <v>12.173863636363651</v>
      </c>
      <c r="H285" s="10">
        <v>312.35750158730133</v>
      </c>
      <c r="I285" s="10">
        <v>6.3847270666666631</v>
      </c>
      <c r="J285" s="10">
        <v>43.972183199999812</v>
      </c>
      <c r="K285" s="10">
        <v>72.277776000000003</v>
      </c>
      <c r="L285" s="11">
        <v>45.699999999999996</v>
      </c>
      <c r="M285" s="11">
        <v>47.2</v>
      </c>
      <c r="N285" s="11">
        <v>7.4168874999999899</v>
      </c>
      <c r="O285" s="11">
        <v>10.029149999999984</v>
      </c>
    </row>
    <row r="286" spans="1:15">
      <c r="A286" s="1" t="s">
        <v>36</v>
      </c>
      <c r="B286" s="1" t="s">
        <v>44</v>
      </c>
      <c r="C286" s="2" t="s">
        <v>23</v>
      </c>
      <c r="D286" s="10">
        <v>4.7457326249999863</v>
      </c>
      <c r="E286" s="10">
        <v>12.758259375</v>
      </c>
      <c r="F286" s="10">
        <v>1.0804750000000019</v>
      </c>
      <c r="G286" s="10">
        <v>11.147863636363649</v>
      </c>
      <c r="H286" s="10">
        <v>216.34656825396792</v>
      </c>
      <c r="I286" s="10">
        <v>8.492234666666663</v>
      </c>
      <c r="J286" s="10">
        <v>58.480867199999807</v>
      </c>
      <c r="K286" s="10">
        <v>89.827235999999999</v>
      </c>
      <c r="L286" s="11">
        <v>142.6</v>
      </c>
      <c r="M286" s="11">
        <v>73.599999999999994</v>
      </c>
      <c r="N286" s="11">
        <v>7.0292874999999899</v>
      </c>
      <c r="O286" s="11">
        <v>6.2823499999999859</v>
      </c>
    </row>
    <row r="287" spans="1:15">
      <c r="A287" s="1" t="s">
        <v>36</v>
      </c>
      <c r="B287" s="1" t="s">
        <v>44</v>
      </c>
      <c r="C287" s="2" t="s">
        <v>24</v>
      </c>
      <c r="D287" s="10">
        <v>5.1149306249999853</v>
      </c>
      <c r="E287" s="10">
        <v>10.088013374999999</v>
      </c>
      <c r="F287" s="10">
        <v>1.028275000000002</v>
      </c>
      <c r="G287" s="10">
        <v>8.7868636363636501</v>
      </c>
      <c r="H287" s="10">
        <v>257.78388253968228</v>
      </c>
      <c r="I287" s="10">
        <v>16.580141599999997</v>
      </c>
      <c r="J287" s="10">
        <v>48.691603199999811</v>
      </c>
      <c r="K287" s="10">
        <v>64.379106000000007</v>
      </c>
      <c r="L287" s="11">
        <v>116.29999999999998</v>
      </c>
      <c r="M287" s="11">
        <v>51.44</v>
      </c>
      <c r="N287" s="11">
        <v>5.1235874999999895</v>
      </c>
      <c r="O287" s="11">
        <v>8.7694499999999884</v>
      </c>
    </row>
    <row r="288" spans="1:15">
      <c r="A288" s="1" t="s">
        <v>36</v>
      </c>
      <c r="B288" s="1" t="s">
        <v>44</v>
      </c>
      <c r="C288" s="2" t="s">
        <v>26</v>
      </c>
      <c r="D288" s="10">
        <v>4.7500256249999859</v>
      </c>
      <c r="E288" s="10">
        <v>9.1693113749999995</v>
      </c>
      <c r="F288" s="10">
        <v>0.85547500000000187</v>
      </c>
      <c r="G288" s="10">
        <v>8.7388636363636518</v>
      </c>
      <c r="H288" s="10">
        <v>256.23843492063457</v>
      </c>
      <c r="I288" s="10">
        <v>15.322533599999998</v>
      </c>
      <c r="J288" s="10">
        <v>50.358943199999814</v>
      </c>
      <c r="K288" s="10">
        <v>110.683116</v>
      </c>
      <c r="L288" s="11">
        <v>133</v>
      </c>
      <c r="M288" s="11">
        <v>53.4</v>
      </c>
      <c r="N288" s="11">
        <v>4.4129874999999892</v>
      </c>
      <c r="O288" s="11">
        <v>7.1867499999999893</v>
      </c>
    </row>
    <row r="289" spans="1:15">
      <c r="A289" s="1" t="s">
        <v>36</v>
      </c>
      <c r="B289" s="1" t="s">
        <v>44</v>
      </c>
      <c r="C289" s="2" t="s">
        <v>27</v>
      </c>
      <c r="D289" s="10">
        <v>3.9815786249999991</v>
      </c>
      <c r="E289" s="10">
        <v>10.006446374999999</v>
      </c>
      <c r="F289" s="10">
        <v>1.0384750000000018</v>
      </c>
      <c r="G289" s="10">
        <v>9.2818636363636511</v>
      </c>
      <c r="H289" s="10">
        <v>143.8071206349203</v>
      </c>
      <c r="I289" s="10">
        <v>6.3695140666666639</v>
      </c>
      <c r="J289" s="10">
        <v>41.790511199999813</v>
      </c>
      <c r="K289" s="10">
        <v>76.191786000000008</v>
      </c>
      <c r="L289" s="11">
        <v>133.9</v>
      </c>
      <c r="M289" s="11">
        <v>58.620000000000005</v>
      </c>
      <c r="N289" s="11">
        <v>4.6067874999999896</v>
      </c>
      <c r="O289" s="11">
        <v>7.4451499999999857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D67F-F778-A24E-9A18-3355C63AC656}">
  <dimension ref="A1:G289"/>
  <sheetViews>
    <sheetView zoomScale="125" workbookViewId="0">
      <selection activeCell="G2" sqref="G2"/>
    </sheetView>
  </sheetViews>
  <sheetFormatPr baseColWidth="10" defaultRowHeight="16"/>
  <cols>
    <col min="1" max="3" width="10.83203125" style="1"/>
    <col min="4" max="4" width="12.83203125" style="4" customWidth="1"/>
    <col min="5" max="7" width="10.83203125" style="1"/>
  </cols>
  <sheetData>
    <row r="1" spans="1:7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48</v>
      </c>
    </row>
    <row r="2" spans="1:7">
      <c r="A2" s="1" t="s">
        <v>35</v>
      </c>
      <c r="B2" s="1" t="s">
        <v>28</v>
      </c>
      <c r="C2" s="1" t="s">
        <v>5</v>
      </c>
      <c r="D2" s="4">
        <v>0.16335416666666699</v>
      </c>
      <c r="E2" s="1">
        <v>5.0000000000000001E-3</v>
      </c>
      <c r="F2" s="4">
        <f>D2-E2</f>
        <v>0.15835416666666699</v>
      </c>
      <c r="G2" s="1">
        <f>0.2862*(F2+0.0006)*1.5/0.01</f>
        <v>6.8239023750000127</v>
      </c>
    </row>
    <row r="3" spans="1:7">
      <c r="A3" s="1" t="s">
        <v>35</v>
      </c>
      <c r="B3" s="1" t="s">
        <v>28</v>
      </c>
      <c r="C3" s="1" t="s">
        <v>6</v>
      </c>
      <c r="D3" s="4">
        <v>0.134854166666667</v>
      </c>
      <c r="E3" s="1">
        <v>5.0000000000000001E-3</v>
      </c>
      <c r="F3" s="4">
        <f t="shared" ref="F3:F66" si="0">D3-E3</f>
        <v>0.12985416666666699</v>
      </c>
      <c r="G3" s="1">
        <f t="shared" ref="G3:G66" si="1">0.2862*(F3+0.0006)*1.5/0.01</f>
        <v>5.6003973750000142</v>
      </c>
    </row>
    <row r="4" spans="1:7">
      <c r="A4" s="1" t="s">
        <v>35</v>
      </c>
      <c r="B4" s="1" t="s">
        <v>28</v>
      </c>
      <c r="C4" s="1" t="s">
        <v>7</v>
      </c>
      <c r="D4" s="4">
        <v>0.13865416666666699</v>
      </c>
      <c r="E4" s="1">
        <v>5.0000000000000001E-3</v>
      </c>
      <c r="F4" s="4">
        <f t="shared" si="0"/>
        <v>0.13365416666666699</v>
      </c>
      <c r="G4" s="1">
        <f t="shared" si="1"/>
        <v>5.7635313750000128</v>
      </c>
    </row>
    <row r="5" spans="1:7">
      <c r="A5" s="1" t="s">
        <v>35</v>
      </c>
      <c r="B5" s="1" t="s">
        <v>28</v>
      </c>
      <c r="C5" s="1" t="s">
        <v>9</v>
      </c>
      <c r="D5" s="4">
        <v>0.159254166666667</v>
      </c>
      <c r="E5" s="1">
        <v>5.0000000000000001E-3</v>
      </c>
      <c r="F5" s="4">
        <f t="shared" si="0"/>
        <v>0.154254166666667</v>
      </c>
      <c r="G5" s="1">
        <f t="shared" si="1"/>
        <v>6.6478893750000143</v>
      </c>
    </row>
    <row r="6" spans="1:7">
      <c r="A6" s="1" t="s">
        <v>35</v>
      </c>
      <c r="B6" s="1" t="s">
        <v>28</v>
      </c>
      <c r="C6" s="1" t="s">
        <v>10</v>
      </c>
      <c r="D6" s="4">
        <v>0.172654166666667</v>
      </c>
      <c r="E6" s="1">
        <v>5.0000000000000001E-3</v>
      </c>
      <c r="F6" s="4">
        <f t="shared" si="0"/>
        <v>0.16765416666666699</v>
      </c>
      <c r="G6" s="1">
        <f t="shared" si="1"/>
        <v>7.2231513750000138</v>
      </c>
    </row>
    <row r="7" spans="1:7">
      <c r="A7" s="1" t="s">
        <v>35</v>
      </c>
      <c r="B7" s="1" t="s">
        <v>28</v>
      </c>
      <c r="C7" s="1" t="s">
        <v>11</v>
      </c>
      <c r="D7" s="4">
        <v>0.15535416666666699</v>
      </c>
      <c r="E7" s="1">
        <v>5.0000000000000001E-3</v>
      </c>
      <c r="F7" s="4">
        <f t="shared" si="0"/>
        <v>0.15035416666666698</v>
      </c>
      <c r="G7" s="1">
        <f t="shared" si="1"/>
        <v>6.4804623750000125</v>
      </c>
    </row>
    <row r="8" spans="1:7">
      <c r="A8" s="1" t="s">
        <v>35</v>
      </c>
      <c r="B8" s="1" t="s">
        <v>28</v>
      </c>
      <c r="C8" s="1" t="s">
        <v>13</v>
      </c>
      <c r="D8" s="4">
        <v>0.13905416666666701</v>
      </c>
      <c r="E8" s="1">
        <v>5.0000000000000001E-3</v>
      </c>
      <c r="F8" s="4">
        <f t="shared" si="0"/>
        <v>0.134054166666667</v>
      </c>
      <c r="G8" s="1">
        <f t="shared" si="1"/>
        <v>5.7807033750000141</v>
      </c>
    </row>
    <row r="9" spans="1:7">
      <c r="A9" s="1" t="s">
        <v>35</v>
      </c>
      <c r="B9" s="1" t="s">
        <v>28</v>
      </c>
      <c r="C9" s="1" t="s">
        <v>14</v>
      </c>
      <c r="D9" s="4">
        <v>0.17735416666666701</v>
      </c>
      <c r="E9" s="1">
        <v>5.0000000000000001E-3</v>
      </c>
      <c r="F9" s="4">
        <f t="shared" si="0"/>
        <v>0.172354166666667</v>
      </c>
      <c r="G9" s="1">
        <f t="shared" si="1"/>
        <v>7.4249223750000146</v>
      </c>
    </row>
    <row r="10" spans="1:7">
      <c r="A10" s="1" t="s">
        <v>35</v>
      </c>
      <c r="B10" s="1" t="s">
        <v>28</v>
      </c>
      <c r="C10" s="1" t="s">
        <v>15</v>
      </c>
      <c r="D10" s="4">
        <v>0.165854166666667</v>
      </c>
      <c r="E10" s="1">
        <v>5.0000000000000001E-3</v>
      </c>
      <c r="F10" s="4">
        <f t="shared" si="0"/>
        <v>0.16085416666666699</v>
      </c>
      <c r="G10" s="1">
        <f t="shared" si="1"/>
        <v>6.931227375000014</v>
      </c>
    </row>
    <row r="11" spans="1:7">
      <c r="A11" s="1" t="s">
        <v>35</v>
      </c>
      <c r="B11" s="1" t="s">
        <v>28</v>
      </c>
      <c r="C11" s="1" t="s">
        <v>17</v>
      </c>
      <c r="D11" s="4">
        <v>0.15135416666666701</v>
      </c>
      <c r="E11" s="1">
        <v>5.0000000000000001E-3</v>
      </c>
      <c r="F11" s="4">
        <f t="shared" si="0"/>
        <v>0.14635416666666701</v>
      </c>
      <c r="G11" s="1">
        <f t="shared" si="1"/>
        <v>6.3087423750000147</v>
      </c>
    </row>
    <row r="12" spans="1:7">
      <c r="A12" s="1" t="s">
        <v>35</v>
      </c>
      <c r="B12" s="1" t="s">
        <v>28</v>
      </c>
      <c r="C12" s="1" t="s">
        <v>18</v>
      </c>
      <c r="D12" s="4">
        <v>0.14825416666666699</v>
      </c>
      <c r="E12" s="1">
        <v>5.0000000000000001E-3</v>
      </c>
      <c r="F12" s="4">
        <f t="shared" si="0"/>
        <v>0.14325416666666699</v>
      </c>
      <c r="G12" s="1">
        <f t="shared" si="1"/>
        <v>6.1756593750000137</v>
      </c>
    </row>
    <row r="13" spans="1:7">
      <c r="A13" s="1" t="s">
        <v>35</v>
      </c>
      <c r="B13" s="1" t="s">
        <v>28</v>
      </c>
      <c r="C13" s="1" t="s">
        <v>19</v>
      </c>
      <c r="D13" s="4">
        <v>0.176954166666667</v>
      </c>
      <c r="E13" s="1">
        <v>5.0000000000000001E-3</v>
      </c>
      <c r="F13" s="4">
        <f t="shared" si="0"/>
        <v>0.17195416666666699</v>
      </c>
      <c r="G13" s="1">
        <f t="shared" si="1"/>
        <v>7.4077503750000133</v>
      </c>
    </row>
    <row r="14" spans="1:7">
      <c r="A14" s="1" t="s">
        <v>35</v>
      </c>
      <c r="B14" s="1" t="s">
        <v>28</v>
      </c>
      <c r="C14" s="1" t="s">
        <v>21</v>
      </c>
      <c r="D14" s="4">
        <v>0.149154166666667</v>
      </c>
      <c r="E14" s="1">
        <v>5.0000000000000001E-3</v>
      </c>
      <c r="F14" s="4">
        <f t="shared" si="0"/>
        <v>0.144154166666667</v>
      </c>
      <c r="G14" s="1">
        <f t="shared" si="1"/>
        <v>6.2142963750000142</v>
      </c>
    </row>
    <row r="15" spans="1:7">
      <c r="A15" s="1" t="s">
        <v>35</v>
      </c>
      <c r="B15" s="1" t="s">
        <v>28</v>
      </c>
      <c r="C15" s="1" t="s">
        <v>22</v>
      </c>
      <c r="D15" s="4">
        <v>0.108454166666667</v>
      </c>
      <c r="E15" s="1">
        <v>5.0000000000000001E-3</v>
      </c>
      <c r="F15" s="4">
        <f t="shared" si="0"/>
        <v>0.103454166666667</v>
      </c>
      <c r="G15" s="1">
        <f t="shared" si="1"/>
        <v>4.4670453750000148</v>
      </c>
    </row>
    <row r="16" spans="1:7">
      <c r="A16" s="1" t="s">
        <v>35</v>
      </c>
      <c r="B16" s="1" t="s">
        <v>28</v>
      </c>
      <c r="C16" s="1" t="s">
        <v>23</v>
      </c>
      <c r="D16" s="4">
        <v>0.162254166666667</v>
      </c>
      <c r="E16" s="1">
        <v>5.0000000000000001E-3</v>
      </c>
      <c r="F16" s="4">
        <f t="shared" si="0"/>
        <v>0.157254166666667</v>
      </c>
      <c r="G16" s="1">
        <f t="shared" si="1"/>
        <v>6.7766793750000138</v>
      </c>
    </row>
    <row r="17" spans="1:7">
      <c r="A17" s="1" t="s">
        <v>35</v>
      </c>
      <c r="B17" s="1" t="s">
        <v>28</v>
      </c>
      <c r="C17" s="1" t="s">
        <v>25</v>
      </c>
      <c r="D17" s="4">
        <v>0.18865416666666701</v>
      </c>
      <c r="E17" s="1">
        <v>5.0000000000000001E-3</v>
      </c>
      <c r="F17" s="4">
        <f t="shared" si="0"/>
        <v>0.18365416666666701</v>
      </c>
      <c r="G17" s="1">
        <f t="shared" si="1"/>
        <v>7.9100313750000151</v>
      </c>
    </row>
    <row r="18" spans="1:7">
      <c r="A18" s="1" t="s">
        <v>35</v>
      </c>
      <c r="B18" s="1" t="s">
        <v>28</v>
      </c>
      <c r="C18" s="1" t="s">
        <v>26</v>
      </c>
      <c r="D18" s="4">
        <v>0.17225416666666701</v>
      </c>
      <c r="E18" s="1">
        <v>5.0000000000000001E-3</v>
      </c>
      <c r="F18" s="4">
        <f t="shared" si="0"/>
        <v>0.16725416666666701</v>
      </c>
      <c r="G18" s="1">
        <f t="shared" si="1"/>
        <v>7.2059793750000152</v>
      </c>
    </row>
    <row r="19" spans="1:7">
      <c r="A19" s="1" t="s">
        <v>35</v>
      </c>
      <c r="B19" s="1" t="s">
        <v>28</v>
      </c>
      <c r="C19" s="1" t="s">
        <v>27</v>
      </c>
      <c r="D19" s="4">
        <v>0.165554166666667</v>
      </c>
      <c r="E19" s="1">
        <v>5.0000000000000001E-3</v>
      </c>
      <c r="F19" s="4">
        <f t="shared" si="0"/>
        <v>0.160554166666667</v>
      </c>
      <c r="G19" s="1">
        <f t="shared" si="1"/>
        <v>6.9183483750000132</v>
      </c>
    </row>
    <row r="20" spans="1:7">
      <c r="A20" s="1" t="s">
        <v>35</v>
      </c>
      <c r="B20" s="1" t="s">
        <v>2</v>
      </c>
      <c r="C20" s="1" t="s">
        <v>5</v>
      </c>
      <c r="D20" s="4">
        <v>0.140354166666667</v>
      </c>
      <c r="E20" s="1">
        <v>5.0000000000000001E-3</v>
      </c>
      <c r="F20" s="4">
        <f t="shared" si="0"/>
        <v>0.135354166666667</v>
      </c>
      <c r="G20" s="1">
        <f t="shared" si="1"/>
        <v>5.8365123750000141</v>
      </c>
    </row>
    <row r="21" spans="1:7">
      <c r="A21" s="1" t="s">
        <v>35</v>
      </c>
      <c r="B21" s="1" t="s">
        <v>2</v>
      </c>
      <c r="C21" s="1" t="s">
        <v>6</v>
      </c>
      <c r="D21" s="4">
        <v>0.153454166666667</v>
      </c>
      <c r="E21" s="1">
        <v>5.0000000000000001E-3</v>
      </c>
      <c r="F21" s="4">
        <f t="shared" si="0"/>
        <v>0.148454166666667</v>
      </c>
      <c r="G21" s="1">
        <f t="shared" si="1"/>
        <v>6.3988953750000128</v>
      </c>
    </row>
    <row r="22" spans="1:7">
      <c r="A22" s="1" t="s">
        <v>35</v>
      </c>
      <c r="B22" s="1" t="s">
        <v>2</v>
      </c>
      <c r="C22" s="1" t="s">
        <v>7</v>
      </c>
      <c r="D22" s="4">
        <v>0.13085416666666699</v>
      </c>
      <c r="E22" s="1">
        <v>5.0000000000000001E-3</v>
      </c>
      <c r="F22" s="4">
        <f t="shared" si="0"/>
        <v>0.12585416666666699</v>
      </c>
      <c r="G22" s="1">
        <f t="shared" si="1"/>
        <v>5.4286773750000137</v>
      </c>
    </row>
    <row r="23" spans="1:7">
      <c r="A23" s="1" t="s">
        <v>35</v>
      </c>
      <c r="B23" s="1" t="s">
        <v>2</v>
      </c>
      <c r="C23" s="1" t="s">
        <v>9</v>
      </c>
      <c r="D23" s="4">
        <v>0.120554166666667</v>
      </c>
      <c r="E23" s="1">
        <v>5.0000000000000001E-3</v>
      </c>
      <c r="F23" s="4">
        <f t="shared" si="0"/>
        <v>0.115554166666667</v>
      </c>
      <c r="G23" s="1">
        <f t="shared" si="1"/>
        <v>4.9864983750000142</v>
      </c>
    </row>
    <row r="24" spans="1:7">
      <c r="A24" s="1" t="s">
        <v>35</v>
      </c>
      <c r="B24" s="1" t="s">
        <v>2</v>
      </c>
      <c r="C24" s="1" t="s">
        <v>10</v>
      </c>
      <c r="D24" s="4">
        <v>0.142154166666667</v>
      </c>
      <c r="E24" s="1">
        <v>5.0000000000000001E-3</v>
      </c>
      <c r="F24" s="4">
        <f t="shared" si="0"/>
        <v>0.13715416666666699</v>
      </c>
      <c r="G24" s="1">
        <f t="shared" si="1"/>
        <v>5.9137863750000133</v>
      </c>
    </row>
    <row r="25" spans="1:7">
      <c r="A25" s="1" t="s">
        <v>35</v>
      </c>
      <c r="B25" s="1" t="s">
        <v>2</v>
      </c>
      <c r="C25" s="1" t="s">
        <v>11</v>
      </c>
      <c r="D25" s="4">
        <v>0.165554166666667</v>
      </c>
      <c r="E25" s="1">
        <v>5.0000000000000001E-3</v>
      </c>
      <c r="F25" s="4">
        <f t="shared" si="0"/>
        <v>0.160554166666667</v>
      </c>
      <c r="G25" s="1">
        <f t="shared" si="1"/>
        <v>6.9183483750000132</v>
      </c>
    </row>
    <row r="26" spans="1:7">
      <c r="A26" s="1" t="s">
        <v>35</v>
      </c>
      <c r="B26" s="1" t="s">
        <v>2</v>
      </c>
      <c r="C26" s="1" t="s">
        <v>13</v>
      </c>
      <c r="D26" s="4">
        <v>0.124754166666667</v>
      </c>
      <c r="E26" s="1">
        <v>5.0000000000000001E-3</v>
      </c>
      <c r="F26" s="4">
        <f t="shared" si="0"/>
        <v>0.11975416666666699</v>
      </c>
      <c r="G26" s="1">
        <f t="shared" si="1"/>
        <v>5.1668043750000141</v>
      </c>
    </row>
    <row r="27" spans="1:7">
      <c r="A27" s="1" t="s">
        <v>35</v>
      </c>
      <c r="B27" s="1" t="s">
        <v>2</v>
      </c>
      <c r="C27" s="1" t="s">
        <v>14</v>
      </c>
      <c r="D27" s="4">
        <v>0.14055416666666701</v>
      </c>
      <c r="E27" s="1">
        <v>5.0000000000000001E-3</v>
      </c>
      <c r="F27" s="4">
        <f t="shared" si="0"/>
        <v>0.135554166666667</v>
      </c>
      <c r="G27" s="1">
        <f t="shared" si="1"/>
        <v>5.8450983750000143</v>
      </c>
    </row>
    <row r="28" spans="1:7">
      <c r="A28" s="1" t="s">
        <v>35</v>
      </c>
      <c r="B28" s="1" t="s">
        <v>2</v>
      </c>
      <c r="C28" s="1" t="s">
        <v>15</v>
      </c>
      <c r="D28" s="4">
        <v>0.13275416666666701</v>
      </c>
      <c r="E28" s="1">
        <v>5.0000000000000001E-3</v>
      </c>
      <c r="F28" s="4">
        <f t="shared" si="0"/>
        <v>0.127754166666667</v>
      </c>
      <c r="G28" s="1">
        <f t="shared" si="1"/>
        <v>5.5102443750000134</v>
      </c>
    </row>
    <row r="29" spans="1:7">
      <c r="A29" s="1" t="s">
        <v>35</v>
      </c>
      <c r="B29" s="1" t="s">
        <v>2</v>
      </c>
      <c r="C29" s="1" t="s">
        <v>17</v>
      </c>
      <c r="D29" s="4">
        <v>0.15415416666666701</v>
      </c>
      <c r="E29" s="1">
        <v>5.0000000000000001E-3</v>
      </c>
      <c r="F29" s="4">
        <f t="shared" si="0"/>
        <v>0.149154166666667</v>
      </c>
      <c r="G29" s="1">
        <f t="shared" si="1"/>
        <v>6.4289463750000131</v>
      </c>
    </row>
    <row r="30" spans="1:7">
      <c r="A30" s="1" t="s">
        <v>35</v>
      </c>
      <c r="B30" s="1" t="s">
        <v>2</v>
      </c>
      <c r="C30" s="1" t="s">
        <v>18</v>
      </c>
      <c r="D30" s="4">
        <v>0.17175416666666701</v>
      </c>
      <c r="E30" s="1">
        <v>5.0000000000000001E-3</v>
      </c>
      <c r="F30" s="4">
        <f t="shared" si="0"/>
        <v>0.16675416666666701</v>
      </c>
      <c r="G30" s="1">
        <f t="shared" si="1"/>
        <v>7.1845143750000142</v>
      </c>
    </row>
    <row r="31" spans="1:7">
      <c r="A31" s="1" t="s">
        <v>35</v>
      </c>
      <c r="B31" s="1" t="s">
        <v>2</v>
      </c>
      <c r="C31" s="1" t="s">
        <v>19</v>
      </c>
      <c r="D31" s="4">
        <v>0.12685416666666699</v>
      </c>
      <c r="E31" s="1">
        <v>5.0000000000000001E-3</v>
      </c>
      <c r="F31" s="4">
        <f t="shared" si="0"/>
        <v>0.12185416666666699</v>
      </c>
      <c r="G31" s="1">
        <f t="shared" si="1"/>
        <v>5.256957375000014</v>
      </c>
    </row>
    <row r="32" spans="1:7">
      <c r="A32" s="1" t="s">
        <v>35</v>
      </c>
      <c r="B32" s="1" t="s">
        <v>2</v>
      </c>
      <c r="C32" s="1" t="s">
        <v>21</v>
      </c>
      <c r="D32" s="4">
        <v>0.114154166666667</v>
      </c>
      <c r="E32" s="1">
        <v>5.0000000000000001E-3</v>
      </c>
      <c r="F32" s="4">
        <f t="shared" si="0"/>
        <v>0.109154166666667</v>
      </c>
      <c r="G32" s="1">
        <f t="shared" si="1"/>
        <v>4.7117463750000139</v>
      </c>
    </row>
    <row r="33" spans="1:7">
      <c r="A33" s="1" t="s">
        <v>35</v>
      </c>
      <c r="B33" s="1" t="s">
        <v>2</v>
      </c>
      <c r="C33" s="1" t="s">
        <v>22</v>
      </c>
      <c r="D33" s="4">
        <v>0.12645416666666701</v>
      </c>
      <c r="E33" s="1">
        <v>5.0000000000000001E-3</v>
      </c>
      <c r="F33" s="4">
        <f t="shared" si="0"/>
        <v>0.121454166666667</v>
      </c>
      <c r="G33" s="1">
        <f t="shared" si="1"/>
        <v>5.2397853750000145</v>
      </c>
    </row>
    <row r="34" spans="1:7">
      <c r="A34" s="1" t="s">
        <v>35</v>
      </c>
      <c r="B34" s="1" t="s">
        <v>2</v>
      </c>
      <c r="C34" s="1" t="s">
        <v>23</v>
      </c>
      <c r="D34" s="4">
        <v>0.136854166666667</v>
      </c>
      <c r="E34" s="1">
        <v>5.0000000000000001E-3</v>
      </c>
      <c r="F34" s="4">
        <f t="shared" si="0"/>
        <v>0.13185416666666699</v>
      </c>
      <c r="G34" s="1">
        <f t="shared" si="1"/>
        <v>5.6862573750000145</v>
      </c>
    </row>
    <row r="35" spans="1:7">
      <c r="A35" s="1" t="s">
        <v>35</v>
      </c>
      <c r="B35" s="1" t="s">
        <v>2</v>
      </c>
      <c r="C35" s="1" t="s">
        <v>25</v>
      </c>
      <c r="D35" s="4">
        <v>0.147654166666667</v>
      </c>
      <c r="E35" s="1">
        <v>5.0000000000000001E-3</v>
      </c>
      <c r="F35" s="4">
        <f t="shared" si="0"/>
        <v>0.142654166666667</v>
      </c>
      <c r="G35" s="1">
        <f t="shared" si="1"/>
        <v>6.1499013750000131</v>
      </c>
    </row>
    <row r="36" spans="1:7">
      <c r="A36" s="1" t="s">
        <v>35</v>
      </c>
      <c r="B36" s="1" t="s">
        <v>2</v>
      </c>
      <c r="C36" s="1" t="s">
        <v>26</v>
      </c>
      <c r="D36" s="4">
        <v>0.127554166666667</v>
      </c>
      <c r="E36" s="1">
        <v>5.0000000000000001E-3</v>
      </c>
      <c r="F36" s="4">
        <f t="shared" si="0"/>
        <v>0.12255416666666699</v>
      </c>
      <c r="G36" s="1">
        <f t="shared" si="1"/>
        <v>5.2870083750000143</v>
      </c>
    </row>
    <row r="37" spans="1:7">
      <c r="A37" s="1" t="s">
        <v>35</v>
      </c>
      <c r="B37" s="1" t="s">
        <v>2</v>
      </c>
      <c r="C37" s="1" t="s">
        <v>27</v>
      </c>
      <c r="D37" s="4">
        <v>0.131254166666667</v>
      </c>
      <c r="E37" s="1">
        <v>5.0000000000000001E-3</v>
      </c>
      <c r="F37" s="4">
        <f t="shared" si="0"/>
        <v>0.126254166666667</v>
      </c>
      <c r="G37" s="1">
        <f t="shared" si="1"/>
        <v>5.4458493750000141</v>
      </c>
    </row>
    <row r="38" spans="1:7">
      <c r="A38" s="1" t="s">
        <v>35</v>
      </c>
      <c r="B38" s="1" t="s">
        <v>29</v>
      </c>
      <c r="C38" s="1" t="s">
        <v>5</v>
      </c>
      <c r="D38" s="4">
        <v>0.14658750000000001</v>
      </c>
      <c r="E38" s="1">
        <v>5.0000000000000001E-3</v>
      </c>
      <c r="F38" s="4">
        <f t="shared" si="0"/>
        <v>0.14158750000000001</v>
      </c>
      <c r="G38" s="1">
        <f t="shared" si="1"/>
        <v>6.1041093750000002</v>
      </c>
    </row>
    <row r="39" spans="1:7">
      <c r="A39" s="1" t="s">
        <v>35</v>
      </c>
      <c r="B39" s="1" t="s">
        <v>29</v>
      </c>
      <c r="C39" s="1" t="s">
        <v>6</v>
      </c>
      <c r="D39" s="4">
        <v>0.1332875</v>
      </c>
      <c r="E39" s="1">
        <v>5.0000000000000001E-3</v>
      </c>
      <c r="F39" s="4">
        <f t="shared" si="0"/>
        <v>0.1282875</v>
      </c>
      <c r="G39" s="1">
        <f t="shared" si="1"/>
        <v>5.5331403749999994</v>
      </c>
    </row>
    <row r="40" spans="1:7">
      <c r="A40" s="1" t="s">
        <v>35</v>
      </c>
      <c r="B40" s="1" t="s">
        <v>29</v>
      </c>
      <c r="C40" s="1" t="s">
        <v>7</v>
      </c>
      <c r="D40" s="4">
        <v>0.14578749999999999</v>
      </c>
      <c r="E40" s="1">
        <v>5.0000000000000001E-3</v>
      </c>
      <c r="F40" s="4">
        <f t="shared" si="0"/>
        <v>0.14078749999999998</v>
      </c>
      <c r="G40" s="1">
        <f t="shared" si="1"/>
        <v>6.0697653749999994</v>
      </c>
    </row>
    <row r="41" spans="1:7">
      <c r="A41" s="1" t="s">
        <v>35</v>
      </c>
      <c r="B41" s="1" t="s">
        <v>29</v>
      </c>
      <c r="C41" s="1" t="s">
        <v>9</v>
      </c>
      <c r="D41" s="4">
        <v>0.1506875</v>
      </c>
      <c r="E41" s="1">
        <v>5.0000000000000001E-3</v>
      </c>
      <c r="F41" s="4">
        <f t="shared" si="0"/>
        <v>0.1456875</v>
      </c>
      <c r="G41" s="1">
        <f t="shared" si="1"/>
        <v>6.2801223749999995</v>
      </c>
    </row>
    <row r="42" spans="1:7">
      <c r="A42" s="1" t="s">
        <v>35</v>
      </c>
      <c r="B42" s="1" t="s">
        <v>29</v>
      </c>
      <c r="C42" s="1" t="s">
        <v>10</v>
      </c>
      <c r="D42" s="4">
        <v>0.15788749999999999</v>
      </c>
      <c r="E42" s="1">
        <v>5.0000000000000001E-3</v>
      </c>
      <c r="F42" s="4">
        <f t="shared" si="0"/>
        <v>0.15288749999999998</v>
      </c>
      <c r="G42" s="1">
        <f t="shared" si="1"/>
        <v>6.5892183749999989</v>
      </c>
    </row>
    <row r="43" spans="1:7">
      <c r="A43" s="1" t="s">
        <v>35</v>
      </c>
      <c r="B43" s="1" t="s">
        <v>29</v>
      </c>
      <c r="C43" s="1" t="s">
        <v>11</v>
      </c>
      <c r="D43" s="4">
        <v>0.17598749999999999</v>
      </c>
      <c r="E43" s="1">
        <v>5.0000000000000001E-3</v>
      </c>
      <c r="F43" s="4">
        <f t="shared" si="0"/>
        <v>0.17098749999999999</v>
      </c>
      <c r="G43" s="1">
        <f t="shared" si="1"/>
        <v>7.3662513749999992</v>
      </c>
    </row>
    <row r="44" spans="1:7">
      <c r="A44" s="1" t="s">
        <v>35</v>
      </c>
      <c r="B44" s="1" t="s">
        <v>29</v>
      </c>
      <c r="C44" s="1" t="s">
        <v>13</v>
      </c>
      <c r="D44" s="4">
        <v>0.12948750000000001</v>
      </c>
      <c r="E44" s="1">
        <v>5.0000000000000001E-3</v>
      </c>
      <c r="F44" s="4">
        <f t="shared" si="0"/>
        <v>0.1244875</v>
      </c>
      <c r="G44" s="1">
        <f t="shared" si="1"/>
        <v>5.370006375</v>
      </c>
    </row>
    <row r="45" spans="1:7">
      <c r="A45" s="1" t="s">
        <v>35</v>
      </c>
      <c r="B45" s="1" t="s">
        <v>29</v>
      </c>
      <c r="C45" s="1" t="s">
        <v>14</v>
      </c>
      <c r="D45" s="4">
        <v>0.18038750000000001</v>
      </c>
      <c r="E45" s="1">
        <v>5.0000000000000001E-3</v>
      </c>
      <c r="F45" s="4">
        <f t="shared" si="0"/>
        <v>0.1753875</v>
      </c>
      <c r="G45" s="1">
        <f t="shared" si="1"/>
        <v>7.555143375000001</v>
      </c>
    </row>
    <row r="46" spans="1:7">
      <c r="A46" s="1" t="s">
        <v>35</v>
      </c>
      <c r="B46" s="1" t="s">
        <v>29</v>
      </c>
      <c r="C46" s="1" t="s">
        <v>15</v>
      </c>
      <c r="D46" s="4">
        <v>0.13698750000000001</v>
      </c>
      <c r="E46" s="1">
        <v>5.0000000000000001E-3</v>
      </c>
      <c r="F46" s="4">
        <f t="shared" si="0"/>
        <v>0.13198750000000001</v>
      </c>
      <c r="G46" s="1">
        <f t="shared" si="1"/>
        <v>5.6919813750000001</v>
      </c>
    </row>
    <row r="47" spans="1:7">
      <c r="A47" s="1" t="s">
        <v>35</v>
      </c>
      <c r="B47" s="1" t="s">
        <v>29</v>
      </c>
      <c r="C47" s="1" t="s">
        <v>17</v>
      </c>
      <c r="D47" s="4">
        <v>0.14208750000000001</v>
      </c>
      <c r="E47" s="1">
        <v>5.0000000000000001E-3</v>
      </c>
      <c r="F47" s="4">
        <f t="shared" si="0"/>
        <v>0.1370875</v>
      </c>
      <c r="G47" s="1">
        <f t="shared" si="1"/>
        <v>5.9109243749999996</v>
      </c>
    </row>
    <row r="48" spans="1:7">
      <c r="A48" s="1" t="s">
        <v>35</v>
      </c>
      <c r="B48" s="1" t="s">
        <v>29</v>
      </c>
      <c r="C48" s="1" t="s">
        <v>18</v>
      </c>
      <c r="D48" s="4">
        <v>0.13198750000000001</v>
      </c>
      <c r="E48" s="1">
        <v>5.0000000000000001E-3</v>
      </c>
      <c r="F48" s="4">
        <f t="shared" si="0"/>
        <v>0.1269875</v>
      </c>
      <c r="G48" s="1">
        <f t="shared" si="1"/>
        <v>5.4773313749999994</v>
      </c>
    </row>
    <row r="49" spans="1:7">
      <c r="A49" s="1" t="s">
        <v>35</v>
      </c>
      <c r="B49" s="1" t="s">
        <v>29</v>
      </c>
      <c r="C49" s="1" t="s">
        <v>19</v>
      </c>
      <c r="D49" s="4">
        <v>0.15558749999999999</v>
      </c>
      <c r="E49" s="1">
        <v>5.0000000000000001E-3</v>
      </c>
      <c r="F49" s="4">
        <f t="shared" si="0"/>
        <v>0.15058749999999999</v>
      </c>
      <c r="G49" s="1">
        <f t="shared" si="1"/>
        <v>6.4904793749999996</v>
      </c>
    </row>
    <row r="50" spans="1:7">
      <c r="A50" s="1" t="s">
        <v>35</v>
      </c>
      <c r="B50" s="1" t="s">
        <v>29</v>
      </c>
      <c r="C50" s="1" t="s">
        <v>21</v>
      </c>
      <c r="D50" s="4">
        <v>0.15588750000000001</v>
      </c>
      <c r="E50" s="1">
        <v>5.0000000000000001E-3</v>
      </c>
      <c r="F50" s="4">
        <f t="shared" si="0"/>
        <v>0.15088750000000001</v>
      </c>
      <c r="G50" s="1">
        <f t="shared" si="1"/>
        <v>6.5033583749999995</v>
      </c>
    </row>
    <row r="51" spans="1:7">
      <c r="A51" s="1" t="s">
        <v>35</v>
      </c>
      <c r="B51" s="1" t="s">
        <v>29</v>
      </c>
      <c r="C51" s="1" t="s">
        <v>22</v>
      </c>
      <c r="D51" s="4">
        <v>0.14748749999999999</v>
      </c>
      <c r="E51" s="1">
        <v>5.0000000000000001E-3</v>
      </c>
      <c r="F51" s="4">
        <f t="shared" si="0"/>
        <v>0.14248749999999999</v>
      </c>
      <c r="G51" s="1">
        <f t="shared" si="1"/>
        <v>6.1427463749999989</v>
      </c>
    </row>
    <row r="52" spans="1:7">
      <c r="A52" s="1" t="s">
        <v>35</v>
      </c>
      <c r="B52" s="1" t="s">
        <v>29</v>
      </c>
      <c r="C52" s="1" t="s">
        <v>23</v>
      </c>
      <c r="D52" s="4">
        <v>0.13238749999999999</v>
      </c>
      <c r="E52" s="1">
        <v>5.0000000000000001E-3</v>
      </c>
      <c r="F52" s="4">
        <f t="shared" si="0"/>
        <v>0.12738749999999999</v>
      </c>
      <c r="G52" s="1">
        <f t="shared" si="1"/>
        <v>5.4945033749999999</v>
      </c>
    </row>
    <row r="53" spans="1:7">
      <c r="A53" s="1" t="s">
        <v>35</v>
      </c>
      <c r="B53" s="1" t="s">
        <v>29</v>
      </c>
      <c r="C53" s="1" t="s">
        <v>25</v>
      </c>
      <c r="D53" s="4">
        <v>0.17018749999999999</v>
      </c>
      <c r="E53" s="1">
        <v>5.0000000000000001E-3</v>
      </c>
      <c r="F53" s="4">
        <f t="shared" si="0"/>
        <v>0.16518749999999999</v>
      </c>
      <c r="G53" s="1">
        <f t="shared" si="1"/>
        <v>7.1172573749999994</v>
      </c>
    </row>
    <row r="54" spans="1:7">
      <c r="A54" s="1" t="s">
        <v>35</v>
      </c>
      <c r="B54" s="1" t="s">
        <v>29</v>
      </c>
      <c r="C54" s="1" t="s">
        <v>26</v>
      </c>
      <c r="D54" s="4">
        <v>0.1826875</v>
      </c>
      <c r="E54" s="1">
        <v>5.0000000000000001E-3</v>
      </c>
      <c r="F54" s="4">
        <f t="shared" si="0"/>
        <v>0.1776875</v>
      </c>
      <c r="G54" s="1">
        <f t="shared" si="1"/>
        <v>7.6538823749999993</v>
      </c>
    </row>
    <row r="55" spans="1:7">
      <c r="A55" s="1" t="s">
        <v>35</v>
      </c>
      <c r="B55" s="1" t="s">
        <v>29</v>
      </c>
      <c r="C55" s="1" t="s">
        <v>27</v>
      </c>
      <c r="D55" s="4">
        <v>0.15438750000000001</v>
      </c>
      <c r="E55" s="1">
        <v>5.0000000000000001E-3</v>
      </c>
      <c r="F55" s="4">
        <f t="shared" si="0"/>
        <v>0.14938750000000001</v>
      </c>
      <c r="G55" s="1">
        <f t="shared" si="1"/>
        <v>6.4389633749999993</v>
      </c>
    </row>
    <row r="56" spans="1:7">
      <c r="A56" s="1" t="s">
        <v>35</v>
      </c>
      <c r="B56" s="1" t="s">
        <v>30</v>
      </c>
      <c r="C56" s="1" t="s">
        <v>5</v>
      </c>
      <c r="D56" s="4">
        <v>0.19718749999999999</v>
      </c>
      <c r="E56" s="1">
        <v>5.0000000000000001E-3</v>
      </c>
      <c r="F56" s="4">
        <f t="shared" si="0"/>
        <v>0.19218749999999998</v>
      </c>
      <c r="G56" s="1">
        <f t="shared" si="1"/>
        <v>8.2763673749999995</v>
      </c>
    </row>
    <row r="57" spans="1:7">
      <c r="A57" s="1" t="s">
        <v>35</v>
      </c>
      <c r="B57" s="1" t="s">
        <v>30</v>
      </c>
      <c r="C57" s="1" t="s">
        <v>6</v>
      </c>
      <c r="D57" s="4">
        <v>0.17458750000000001</v>
      </c>
      <c r="E57" s="1">
        <v>5.0000000000000001E-3</v>
      </c>
      <c r="F57" s="4">
        <f t="shared" si="0"/>
        <v>0.1695875</v>
      </c>
      <c r="G57" s="1">
        <f t="shared" si="1"/>
        <v>7.3061493749999995</v>
      </c>
    </row>
    <row r="58" spans="1:7">
      <c r="A58" s="1" t="s">
        <v>35</v>
      </c>
      <c r="B58" s="1" t="s">
        <v>30</v>
      </c>
      <c r="C58" s="1" t="s">
        <v>7</v>
      </c>
      <c r="D58" s="4">
        <v>0.1710875</v>
      </c>
      <c r="E58" s="1">
        <v>5.0000000000000001E-3</v>
      </c>
      <c r="F58" s="4">
        <f t="shared" si="0"/>
        <v>0.1660875</v>
      </c>
      <c r="G58" s="1">
        <f t="shared" si="1"/>
        <v>7.155894374999999</v>
      </c>
    </row>
    <row r="59" spans="1:7">
      <c r="A59" s="1" t="s">
        <v>35</v>
      </c>
      <c r="B59" s="1" t="s">
        <v>30</v>
      </c>
      <c r="C59" s="1" t="s">
        <v>9</v>
      </c>
      <c r="D59" s="4">
        <v>0.17358750000000001</v>
      </c>
      <c r="E59" s="1">
        <v>5.0000000000000001E-3</v>
      </c>
      <c r="F59" s="4">
        <f t="shared" si="0"/>
        <v>0.1685875</v>
      </c>
      <c r="G59" s="1">
        <f t="shared" si="1"/>
        <v>7.2632193749999985</v>
      </c>
    </row>
    <row r="60" spans="1:7">
      <c r="A60" s="1" t="s">
        <v>35</v>
      </c>
      <c r="B60" s="1" t="s">
        <v>30</v>
      </c>
      <c r="C60" s="1" t="s">
        <v>10</v>
      </c>
      <c r="D60" s="4">
        <v>0.1647875</v>
      </c>
      <c r="E60" s="1">
        <v>5.0000000000000001E-3</v>
      </c>
      <c r="F60" s="4">
        <f t="shared" si="0"/>
        <v>0.1597875</v>
      </c>
      <c r="G60" s="1">
        <f t="shared" si="1"/>
        <v>6.8854353749999984</v>
      </c>
    </row>
    <row r="61" spans="1:7">
      <c r="A61" s="1" t="s">
        <v>35</v>
      </c>
      <c r="B61" s="1" t="s">
        <v>30</v>
      </c>
      <c r="C61" s="1" t="s">
        <v>11</v>
      </c>
      <c r="D61" s="4">
        <v>0.14278750000000001</v>
      </c>
      <c r="E61" s="1">
        <v>5.0000000000000001E-3</v>
      </c>
      <c r="F61" s="4">
        <f t="shared" si="0"/>
        <v>0.13778750000000001</v>
      </c>
      <c r="G61" s="1">
        <f t="shared" si="1"/>
        <v>5.9409753749999998</v>
      </c>
    </row>
    <row r="62" spans="1:7">
      <c r="A62" s="1" t="s">
        <v>35</v>
      </c>
      <c r="B62" s="1" t="s">
        <v>30</v>
      </c>
      <c r="C62" s="1" t="s">
        <v>13</v>
      </c>
      <c r="D62" s="4">
        <v>0.14098749999999999</v>
      </c>
      <c r="E62" s="1">
        <v>5.0000000000000001E-3</v>
      </c>
      <c r="F62" s="4">
        <f t="shared" si="0"/>
        <v>0.13598749999999998</v>
      </c>
      <c r="G62" s="1">
        <f t="shared" si="1"/>
        <v>5.8637013749999989</v>
      </c>
    </row>
    <row r="63" spans="1:7">
      <c r="A63" s="1" t="s">
        <v>35</v>
      </c>
      <c r="B63" s="1" t="s">
        <v>30</v>
      </c>
      <c r="C63" s="1" t="s">
        <v>14</v>
      </c>
      <c r="D63" s="4">
        <v>0.14898749999999999</v>
      </c>
      <c r="E63" s="1">
        <v>5.0000000000000001E-3</v>
      </c>
      <c r="F63" s="4">
        <f t="shared" si="0"/>
        <v>0.14398749999999999</v>
      </c>
      <c r="G63" s="1">
        <f t="shared" si="1"/>
        <v>6.207141375</v>
      </c>
    </row>
    <row r="64" spans="1:7">
      <c r="A64" s="1" t="s">
        <v>35</v>
      </c>
      <c r="B64" s="1" t="s">
        <v>30</v>
      </c>
      <c r="C64" s="1" t="s">
        <v>15</v>
      </c>
      <c r="D64" s="4">
        <v>0.1501875</v>
      </c>
      <c r="E64" s="1">
        <v>5.0000000000000001E-3</v>
      </c>
      <c r="F64" s="4">
        <f t="shared" si="0"/>
        <v>0.1451875</v>
      </c>
      <c r="G64" s="1">
        <f t="shared" si="1"/>
        <v>6.2586573749999994</v>
      </c>
    </row>
    <row r="65" spans="1:7">
      <c r="A65" s="1" t="s">
        <v>35</v>
      </c>
      <c r="B65" s="1" t="s">
        <v>30</v>
      </c>
      <c r="C65" s="1" t="s">
        <v>17</v>
      </c>
      <c r="D65" s="4">
        <v>0.1370875</v>
      </c>
      <c r="E65" s="1">
        <v>5.0000000000000001E-3</v>
      </c>
      <c r="F65" s="4">
        <f t="shared" si="0"/>
        <v>0.1320875</v>
      </c>
      <c r="G65" s="1">
        <f t="shared" si="1"/>
        <v>5.6962743749999998</v>
      </c>
    </row>
    <row r="66" spans="1:7">
      <c r="A66" s="1" t="s">
        <v>35</v>
      </c>
      <c r="B66" s="1" t="s">
        <v>30</v>
      </c>
      <c r="C66" s="1" t="s">
        <v>18</v>
      </c>
      <c r="D66" s="4">
        <v>0.1216875</v>
      </c>
      <c r="E66" s="1">
        <v>5.0000000000000001E-3</v>
      </c>
      <c r="F66" s="4">
        <f t="shared" si="0"/>
        <v>0.1166875</v>
      </c>
      <c r="G66" s="1">
        <f t="shared" si="1"/>
        <v>5.035152375</v>
      </c>
    </row>
    <row r="67" spans="1:7">
      <c r="A67" s="1" t="s">
        <v>35</v>
      </c>
      <c r="B67" s="1" t="s">
        <v>30</v>
      </c>
      <c r="C67" s="1" t="s">
        <v>19</v>
      </c>
      <c r="D67" s="4">
        <v>0.14848749999999999</v>
      </c>
      <c r="E67" s="1">
        <v>5.0000000000000001E-3</v>
      </c>
      <c r="F67" s="4">
        <f t="shared" ref="F67:F130" si="2">D67-E67</f>
        <v>0.14348749999999999</v>
      </c>
      <c r="G67" s="1">
        <f t="shared" ref="G67:G130" si="3">0.2862*(F67+0.0006)*1.5/0.01</f>
        <v>6.185676374999999</v>
      </c>
    </row>
    <row r="68" spans="1:7">
      <c r="A68" s="1" t="s">
        <v>35</v>
      </c>
      <c r="B68" s="1" t="s">
        <v>30</v>
      </c>
      <c r="C68" s="1" t="s">
        <v>21</v>
      </c>
      <c r="D68" s="4">
        <v>0.15028749999999999</v>
      </c>
      <c r="E68" s="1">
        <v>5.0000000000000001E-3</v>
      </c>
      <c r="F68" s="4">
        <f t="shared" si="2"/>
        <v>0.14528749999999999</v>
      </c>
      <c r="G68" s="1">
        <f t="shared" si="3"/>
        <v>6.2629503749999991</v>
      </c>
    </row>
    <row r="69" spans="1:7">
      <c r="A69" s="1" t="s">
        <v>35</v>
      </c>
      <c r="B69" s="1" t="s">
        <v>30</v>
      </c>
      <c r="C69" s="1" t="s">
        <v>22</v>
      </c>
      <c r="D69" s="4">
        <v>0.16048750000000001</v>
      </c>
      <c r="E69" s="1">
        <v>5.0000000000000001E-3</v>
      </c>
      <c r="F69" s="4">
        <f t="shared" si="2"/>
        <v>0.1554875</v>
      </c>
      <c r="G69" s="1">
        <f t="shared" si="3"/>
        <v>6.7008363749999988</v>
      </c>
    </row>
    <row r="70" spans="1:7">
      <c r="A70" s="1" t="s">
        <v>35</v>
      </c>
      <c r="B70" s="1" t="s">
        <v>30</v>
      </c>
      <c r="C70" s="1" t="s">
        <v>23</v>
      </c>
      <c r="D70" s="4">
        <v>0.1388875</v>
      </c>
      <c r="E70" s="1">
        <v>5.0000000000000001E-3</v>
      </c>
      <c r="F70" s="4">
        <f t="shared" si="2"/>
        <v>0.13388749999999999</v>
      </c>
      <c r="G70" s="1">
        <f t="shared" si="3"/>
        <v>5.773548374999999</v>
      </c>
    </row>
    <row r="71" spans="1:7">
      <c r="A71" s="1" t="s">
        <v>35</v>
      </c>
      <c r="B71" s="1" t="s">
        <v>30</v>
      </c>
      <c r="C71" s="1" t="s">
        <v>25</v>
      </c>
      <c r="D71" s="4">
        <v>0.1554875</v>
      </c>
      <c r="E71" s="1">
        <v>5.0000000000000001E-3</v>
      </c>
      <c r="F71" s="4">
        <f t="shared" si="2"/>
        <v>0.1504875</v>
      </c>
      <c r="G71" s="1">
        <f t="shared" si="3"/>
        <v>6.4861863749999999</v>
      </c>
    </row>
    <row r="72" spans="1:7">
      <c r="A72" s="1" t="s">
        <v>35</v>
      </c>
      <c r="B72" s="1" t="s">
        <v>30</v>
      </c>
      <c r="C72" s="1" t="s">
        <v>26</v>
      </c>
      <c r="D72" s="4">
        <v>0.16368750000000001</v>
      </c>
      <c r="E72" s="1">
        <v>5.0000000000000001E-3</v>
      </c>
      <c r="F72" s="4">
        <f t="shared" si="2"/>
        <v>0.15868750000000001</v>
      </c>
      <c r="G72" s="1">
        <f t="shared" si="3"/>
        <v>6.8382123749999995</v>
      </c>
    </row>
    <row r="73" spans="1:7">
      <c r="A73" s="1" t="s">
        <v>35</v>
      </c>
      <c r="B73" s="1" t="s">
        <v>30</v>
      </c>
      <c r="C73" s="1" t="s">
        <v>27</v>
      </c>
      <c r="D73" s="4">
        <v>0.16268750000000001</v>
      </c>
      <c r="E73" s="1">
        <v>5.0000000000000001E-3</v>
      </c>
      <c r="F73" s="4">
        <f t="shared" si="2"/>
        <v>0.15768750000000001</v>
      </c>
      <c r="G73" s="1">
        <f t="shared" si="3"/>
        <v>6.7952823750000002</v>
      </c>
    </row>
    <row r="74" spans="1:7">
      <c r="A74" s="1" t="s">
        <v>35</v>
      </c>
      <c r="B74" s="1" t="s">
        <v>31</v>
      </c>
      <c r="C74" s="1" t="s">
        <v>5</v>
      </c>
      <c r="D74" s="4">
        <v>0.10970416666666701</v>
      </c>
      <c r="E74" s="1">
        <v>5.0000000000000001E-3</v>
      </c>
      <c r="F74" s="4">
        <f t="shared" si="2"/>
        <v>0.104704166666667</v>
      </c>
      <c r="G74" s="1">
        <f t="shared" si="3"/>
        <v>4.5207078750000145</v>
      </c>
    </row>
    <row r="75" spans="1:7">
      <c r="A75" s="1" t="s">
        <v>35</v>
      </c>
      <c r="B75" s="1" t="s">
        <v>31</v>
      </c>
      <c r="C75" s="1" t="s">
        <v>6</v>
      </c>
      <c r="D75" s="4">
        <v>0.13160416666666699</v>
      </c>
      <c r="E75" s="1">
        <v>5.0000000000000001E-3</v>
      </c>
      <c r="F75" s="4">
        <f t="shared" si="2"/>
        <v>0.12660416666666699</v>
      </c>
      <c r="G75" s="1">
        <f t="shared" si="3"/>
        <v>5.4608748750000125</v>
      </c>
    </row>
    <row r="76" spans="1:7">
      <c r="A76" s="1" t="s">
        <v>35</v>
      </c>
      <c r="B76" s="1" t="s">
        <v>31</v>
      </c>
      <c r="C76" s="1" t="s">
        <v>7</v>
      </c>
      <c r="D76" s="4">
        <v>0.133104166666667</v>
      </c>
      <c r="E76" s="1">
        <v>5.0000000000000001E-3</v>
      </c>
      <c r="F76" s="4">
        <f t="shared" si="2"/>
        <v>0.12810416666666699</v>
      </c>
      <c r="G76" s="1">
        <f t="shared" si="3"/>
        <v>5.5252698750000135</v>
      </c>
    </row>
    <row r="77" spans="1:7">
      <c r="A77" s="1" t="s">
        <v>35</v>
      </c>
      <c r="B77" s="1" t="s">
        <v>31</v>
      </c>
      <c r="C77" s="1" t="s">
        <v>9</v>
      </c>
      <c r="D77" s="4">
        <v>0.152504166666667</v>
      </c>
      <c r="E77" s="1">
        <v>5.0000000000000001E-3</v>
      </c>
      <c r="F77" s="4">
        <f t="shared" si="2"/>
        <v>0.14750416666666699</v>
      </c>
      <c r="G77" s="1">
        <f t="shared" si="3"/>
        <v>6.3581118750000138</v>
      </c>
    </row>
    <row r="78" spans="1:7">
      <c r="A78" s="1" t="s">
        <v>35</v>
      </c>
      <c r="B78" s="1" t="s">
        <v>31</v>
      </c>
      <c r="C78" s="1" t="s">
        <v>10</v>
      </c>
      <c r="D78" s="4">
        <v>0.149904166666667</v>
      </c>
      <c r="E78" s="1">
        <v>5.0000000000000001E-3</v>
      </c>
      <c r="F78" s="4">
        <f t="shared" si="2"/>
        <v>0.144904166666667</v>
      </c>
      <c r="G78" s="1">
        <f t="shared" si="3"/>
        <v>6.2464938750000139</v>
      </c>
    </row>
    <row r="79" spans="1:7">
      <c r="A79" s="1" t="s">
        <v>35</v>
      </c>
      <c r="B79" s="1" t="s">
        <v>31</v>
      </c>
      <c r="C79" s="1" t="s">
        <v>11</v>
      </c>
      <c r="D79" s="4">
        <v>0.19210416666666699</v>
      </c>
      <c r="E79" s="1">
        <v>5.0000000000000001E-3</v>
      </c>
      <c r="F79" s="4">
        <f t="shared" si="2"/>
        <v>0.18710416666666699</v>
      </c>
      <c r="G79" s="1">
        <f t="shared" si="3"/>
        <v>8.0581398750000126</v>
      </c>
    </row>
    <row r="80" spans="1:7">
      <c r="A80" s="1" t="s">
        <v>35</v>
      </c>
      <c r="B80" s="1" t="s">
        <v>31</v>
      </c>
      <c r="C80" s="1" t="s">
        <v>13</v>
      </c>
      <c r="D80" s="4">
        <v>0.153204166666667</v>
      </c>
      <c r="E80" s="1">
        <v>5.0000000000000001E-3</v>
      </c>
      <c r="F80" s="4">
        <f t="shared" si="2"/>
        <v>0.148204166666667</v>
      </c>
      <c r="G80" s="1">
        <f t="shared" si="3"/>
        <v>6.3881628750000141</v>
      </c>
    </row>
    <row r="81" spans="1:7">
      <c r="A81" s="1" t="s">
        <v>35</v>
      </c>
      <c r="B81" s="1" t="s">
        <v>31</v>
      </c>
      <c r="C81" s="1" t="s">
        <v>14</v>
      </c>
      <c r="D81" s="4">
        <v>0.161304166666667</v>
      </c>
      <c r="E81" s="1">
        <v>5.0000000000000001E-3</v>
      </c>
      <c r="F81" s="4">
        <f t="shared" si="2"/>
        <v>0.15630416666666699</v>
      </c>
      <c r="G81" s="1">
        <f t="shared" si="3"/>
        <v>6.735895875000014</v>
      </c>
    </row>
    <row r="82" spans="1:7">
      <c r="A82" s="1" t="s">
        <v>35</v>
      </c>
      <c r="B82" s="1" t="s">
        <v>31</v>
      </c>
      <c r="C82" s="1" t="s">
        <v>15</v>
      </c>
      <c r="D82" s="4">
        <v>0.14480416666666701</v>
      </c>
      <c r="E82" s="1">
        <v>5.0000000000000001E-3</v>
      </c>
      <c r="F82" s="4">
        <f t="shared" si="2"/>
        <v>0.13980416666666701</v>
      </c>
      <c r="G82" s="1">
        <f t="shared" si="3"/>
        <v>6.0275508750000135</v>
      </c>
    </row>
    <row r="83" spans="1:7">
      <c r="A83" s="1" t="s">
        <v>35</v>
      </c>
      <c r="B83" s="1" t="s">
        <v>31</v>
      </c>
      <c r="C83" s="1" t="s">
        <v>17</v>
      </c>
      <c r="D83" s="4">
        <v>0.13200416666666701</v>
      </c>
      <c r="E83" s="1">
        <v>5.0000000000000001E-3</v>
      </c>
      <c r="F83" s="4">
        <f t="shared" si="2"/>
        <v>0.127004166666667</v>
      </c>
      <c r="G83" s="1">
        <f t="shared" si="3"/>
        <v>5.4780468750000146</v>
      </c>
    </row>
    <row r="84" spans="1:7">
      <c r="A84" s="1" t="s">
        <v>35</v>
      </c>
      <c r="B84" s="1" t="s">
        <v>31</v>
      </c>
      <c r="C84" s="1" t="s">
        <v>18</v>
      </c>
      <c r="D84" s="4">
        <v>0.15290416666666701</v>
      </c>
      <c r="E84" s="1">
        <v>5.0000000000000001E-3</v>
      </c>
      <c r="F84" s="4">
        <f t="shared" si="2"/>
        <v>0.147904166666667</v>
      </c>
      <c r="G84" s="1">
        <f t="shared" si="3"/>
        <v>6.3752838750000151</v>
      </c>
    </row>
    <row r="85" spans="1:7">
      <c r="A85" s="1" t="s">
        <v>35</v>
      </c>
      <c r="B85" s="1" t="s">
        <v>31</v>
      </c>
      <c r="C85" s="1" t="s">
        <v>19</v>
      </c>
      <c r="D85" s="4">
        <v>0.147204166666667</v>
      </c>
      <c r="E85" s="1">
        <v>5.0000000000000001E-3</v>
      </c>
      <c r="F85" s="4">
        <f t="shared" si="2"/>
        <v>0.14220416666666699</v>
      </c>
      <c r="G85" s="1">
        <f t="shared" si="3"/>
        <v>6.1305828750000133</v>
      </c>
    </row>
    <row r="86" spans="1:7">
      <c r="A86" s="1" t="s">
        <v>35</v>
      </c>
      <c r="B86" s="1" t="s">
        <v>31</v>
      </c>
      <c r="C86" s="1" t="s">
        <v>21</v>
      </c>
      <c r="D86" s="4">
        <v>0.157804166666667</v>
      </c>
      <c r="E86" s="1">
        <v>5.0000000000000001E-3</v>
      </c>
      <c r="F86" s="4">
        <f t="shared" si="2"/>
        <v>0.15280416666666699</v>
      </c>
      <c r="G86" s="1">
        <f t="shared" si="3"/>
        <v>6.5856408750000135</v>
      </c>
    </row>
    <row r="87" spans="1:7">
      <c r="A87" s="1" t="s">
        <v>35</v>
      </c>
      <c r="B87" s="1" t="s">
        <v>31</v>
      </c>
      <c r="C87" s="1" t="s">
        <v>22</v>
      </c>
      <c r="D87" s="4">
        <v>0.15580416666666699</v>
      </c>
      <c r="E87" s="1">
        <v>5.0000000000000001E-3</v>
      </c>
      <c r="F87" s="4">
        <f t="shared" si="2"/>
        <v>0.15080416666666699</v>
      </c>
      <c r="G87" s="1">
        <f t="shared" si="3"/>
        <v>6.4997808750000132</v>
      </c>
    </row>
    <row r="88" spans="1:7">
      <c r="A88" s="1" t="s">
        <v>35</v>
      </c>
      <c r="B88" s="1" t="s">
        <v>31</v>
      </c>
      <c r="C88" s="1" t="s">
        <v>23</v>
      </c>
      <c r="D88" s="4">
        <v>0.13830416666666701</v>
      </c>
      <c r="E88" s="1">
        <v>5.0000000000000001E-3</v>
      </c>
      <c r="F88" s="4">
        <f t="shared" si="2"/>
        <v>0.133304166666667</v>
      </c>
      <c r="G88" s="1">
        <f t="shared" si="3"/>
        <v>5.7485058750000135</v>
      </c>
    </row>
    <row r="89" spans="1:7">
      <c r="A89" s="1" t="s">
        <v>35</v>
      </c>
      <c r="B89" s="1" t="s">
        <v>31</v>
      </c>
      <c r="C89" s="1" t="s">
        <v>25</v>
      </c>
      <c r="D89" s="4">
        <v>0.161304166666667</v>
      </c>
      <c r="E89" s="1">
        <v>5.0000000000000001E-3</v>
      </c>
      <c r="F89" s="4">
        <f t="shared" si="2"/>
        <v>0.15630416666666699</v>
      </c>
      <c r="G89" s="1">
        <f t="shared" si="3"/>
        <v>6.735895875000014</v>
      </c>
    </row>
    <row r="90" spans="1:7">
      <c r="A90" s="1" t="s">
        <v>35</v>
      </c>
      <c r="B90" s="1" t="s">
        <v>31</v>
      </c>
      <c r="C90" s="1" t="s">
        <v>26</v>
      </c>
      <c r="D90" s="4">
        <v>0.14700416666666699</v>
      </c>
      <c r="E90" s="1">
        <v>5.0000000000000001E-3</v>
      </c>
      <c r="F90" s="4">
        <f t="shared" si="2"/>
        <v>0.14200416666666699</v>
      </c>
      <c r="G90" s="1">
        <f t="shared" si="3"/>
        <v>6.1219968750000131</v>
      </c>
    </row>
    <row r="91" spans="1:7">
      <c r="A91" s="1" t="s">
        <v>35</v>
      </c>
      <c r="B91" s="1" t="s">
        <v>31</v>
      </c>
      <c r="C91" s="1" t="s">
        <v>27</v>
      </c>
      <c r="D91" s="4">
        <v>0.130304166666667</v>
      </c>
      <c r="E91" s="1">
        <v>5.0000000000000001E-3</v>
      </c>
      <c r="F91" s="4">
        <f t="shared" si="2"/>
        <v>0.12530416666666699</v>
      </c>
      <c r="G91" s="1">
        <f t="shared" si="3"/>
        <v>5.4050658750000133</v>
      </c>
    </row>
    <row r="92" spans="1:7">
      <c r="A92" s="1" t="s">
        <v>35</v>
      </c>
      <c r="B92" s="1" t="s">
        <v>32</v>
      </c>
      <c r="C92" s="2" t="s">
        <v>4</v>
      </c>
      <c r="D92" s="4">
        <v>0.142604166666667</v>
      </c>
      <c r="E92" s="1">
        <v>5.0000000000000001E-3</v>
      </c>
      <c r="F92" s="4">
        <f t="shared" si="2"/>
        <v>0.137604166666667</v>
      </c>
      <c r="G92" s="1">
        <f t="shared" si="3"/>
        <v>5.9331048750000139</v>
      </c>
    </row>
    <row r="93" spans="1:7">
      <c r="A93" s="1" t="s">
        <v>35</v>
      </c>
      <c r="B93" s="1" t="s">
        <v>32</v>
      </c>
      <c r="C93" s="2" t="s">
        <v>6</v>
      </c>
      <c r="D93" s="4">
        <v>0.14300416666666699</v>
      </c>
      <c r="E93" s="1">
        <v>5.0000000000000001E-3</v>
      </c>
      <c r="F93" s="4">
        <f t="shared" si="2"/>
        <v>0.13800416666666698</v>
      </c>
      <c r="G93" s="1">
        <f t="shared" si="3"/>
        <v>5.9502768750000126</v>
      </c>
    </row>
    <row r="94" spans="1:7">
      <c r="A94" s="1" t="s">
        <v>35</v>
      </c>
      <c r="B94" s="1" t="s">
        <v>32</v>
      </c>
      <c r="C94" s="2" t="s">
        <v>7</v>
      </c>
      <c r="D94" s="4">
        <v>0.15240416666666701</v>
      </c>
      <c r="E94" s="1">
        <v>5.0000000000000001E-3</v>
      </c>
      <c r="F94" s="4">
        <f t="shared" si="2"/>
        <v>0.147404166666667</v>
      </c>
      <c r="G94" s="1">
        <f t="shared" si="3"/>
        <v>6.3538188750000142</v>
      </c>
    </row>
    <row r="95" spans="1:7">
      <c r="A95" s="1" t="s">
        <v>35</v>
      </c>
      <c r="B95" s="1" t="s">
        <v>32</v>
      </c>
      <c r="C95" s="2" t="s">
        <v>8</v>
      </c>
      <c r="D95" s="4">
        <v>0.11310416666666701</v>
      </c>
      <c r="E95" s="1">
        <v>5.0000000000000001E-3</v>
      </c>
      <c r="F95" s="4">
        <f t="shared" si="2"/>
        <v>0.108104166666667</v>
      </c>
      <c r="G95" s="1">
        <f t="shared" si="3"/>
        <v>4.6666698750000144</v>
      </c>
    </row>
    <row r="96" spans="1:7">
      <c r="A96" s="1" t="s">
        <v>35</v>
      </c>
      <c r="B96" s="1" t="s">
        <v>32</v>
      </c>
      <c r="C96" s="2" t="s">
        <v>10</v>
      </c>
      <c r="D96" s="4">
        <v>0.15130416666666699</v>
      </c>
      <c r="E96" s="1">
        <v>5.0000000000000001E-3</v>
      </c>
      <c r="F96" s="4">
        <f t="shared" si="2"/>
        <v>0.14630416666666698</v>
      </c>
      <c r="G96" s="1">
        <f t="shared" si="3"/>
        <v>6.3065958750000135</v>
      </c>
    </row>
    <row r="97" spans="1:7">
      <c r="A97" s="1" t="s">
        <v>35</v>
      </c>
      <c r="B97" s="1" t="s">
        <v>32</v>
      </c>
      <c r="C97" s="2" t="s">
        <v>11</v>
      </c>
      <c r="D97" s="4">
        <v>0.124504166666667</v>
      </c>
      <c r="E97" s="1">
        <v>5.0000000000000001E-3</v>
      </c>
      <c r="F97" s="4">
        <f t="shared" si="2"/>
        <v>0.11950416666666699</v>
      </c>
      <c r="G97" s="1">
        <f t="shared" si="3"/>
        <v>5.1560718750000136</v>
      </c>
    </row>
    <row r="98" spans="1:7">
      <c r="A98" s="1" t="s">
        <v>35</v>
      </c>
      <c r="B98" s="1" t="s">
        <v>32</v>
      </c>
      <c r="C98" s="2" t="s">
        <v>12</v>
      </c>
      <c r="D98" s="4">
        <v>0.14200416666666699</v>
      </c>
      <c r="E98" s="1">
        <v>5.0000000000000001E-3</v>
      </c>
      <c r="F98" s="4">
        <f t="shared" si="2"/>
        <v>0.13700416666666698</v>
      </c>
      <c r="G98" s="1">
        <f t="shared" si="3"/>
        <v>5.9073468750000124</v>
      </c>
    </row>
    <row r="99" spans="1:7">
      <c r="A99" s="1" t="s">
        <v>35</v>
      </c>
      <c r="B99" s="1" t="s">
        <v>32</v>
      </c>
      <c r="C99" s="2" t="s">
        <v>14</v>
      </c>
      <c r="D99" s="4">
        <v>0.130504166666667</v>
      </c>
      <c r="E99" s="1">
        <v>5.0000000000000001E-3</v>
      </c>
      <c r="F99" s="4">
        <f t="shared" si="2"/>
        <v>0.125504166666667</v>
      </c>
      <c r="G99" s="1">
        <f t="shared" si="3"/>
        <v>5.4136518750000135</v>
      </c>
    </row>
    <row r="100" spans="1:7">
      <c r="A100" s="1" t="s">
        <v>35</v>
      </c>
      <c r="B100" s="1" t="s">
        <v>32</v>
      </c>
      <c r="C100" s="2" t="s">
        <v>15</v>
      </c>
      <c r="D100" s="4">
        <v>0.140604166666667</v>
      </c>
      <c r="E100" s="1">
        <v>5.0000000000000001E-3</v>
      </c>
      <c r="F100" s="4">
        <f t="shared" si="2"/>
        <v>0.135604166666667</v>
      </c>
      <c r="G100" s="1">
        <f t="shared" si="3"/>
        <v>5.8472448750000137</v>
      </c>
    </row>
    <row r="101" spans="1:7">
      <c r="A101" s="1" t="s">
        <v>35</v>
      </c>
      <c r="B101" s="1" t="s">
        <v>32</v>
      </c>
      <c r="C101" s="2" t="s">
        <v>16</v>
      </c>
      <c r="D101" s="4">
        <v>0.130304166666667</v>
      </c>
      <c r="E101" s="1">
        <v>5.0000000000000001E-3</v>
      </c>
      <c r="F101" s="4">
        <f t="shared" si="2"/>
        <v>0.12530416666666699</v>
      </c>
      <c r="G101" s="1">
        <f t="shared" si="3"/>
        <v>5.4050658750000133</v>
      </c>
    </row>
    <row r="102" spans="1:7">
      <c r="A102" s="1" t="s">
        <v>35</v>
      </c>
      <c r="B102" s="1" t="s">
        <v>32</v>
      </c>
      <c r="C102" s="2" t="s">
        <v>18</v>
      </c>
      <c r="D102" s="4">
        <v>0.11940416666666701</v>
      </c>
      <c r="E102" s="1">
        <v>5.0000000000000001E-3</v>
      </c>
      <c r="F102" s="4">
        <f t="shared" si="2"/>
        <v>0.114404166666667</v>
      </c>
      <c r="G102" s="1">
        <f t="shared" si="3"/>
        <v>4.9371288750000142</v>
      </c>
    </row>
    <row r="103" spans="1:7">
      <c r="A103" s="1" t="s">
        <v>35</v>
      </c>
      <c r="B103" s="1" t="s">
        <v>32</v>
      </c>
      <c r="C103" s="2" t="s">
        <v>19</v>
      </c>
      <c r="D103" s="4">
        <v>0.14630416666666701</v>
      </c>
      <c r="E103" s="1">
        <v>5.0000000000000001E-3</v>
      </c>
      <c r="F103" s="4">
        <f t="shared" si="2"/>
        <v>0.14130416666666701</v>
      </c>
      <c r="G103" s="1">
        <f t="shared" si="3"/>
        <v>6.0919458750000137</v>
      </c>
    </row>
    <row r="104" spans="1:7">
      <c r="A104" s="1" t="s">
        <v>35</v>
      </c>
      <c r="B104" s="1" t="s">
        <v>32</v>
      </c>
      <c r="C104" s="2" t="s">
        <v>20</v>
      </c>
      <c r="D104" s="4">
        <v>0.182204166666667</v>
      </c>
      <c r="E104" s="1">
        <v>5.0000000000000001E-3</v>
      </c>
      <c r="F104" s="4">
        <f t="shared" si="2"/>
        <v>0.177204166666667</v>
      </c>
      <c r="G104" s="1">
        <f t="shared" si="3"/>
        <v>7.6331328750000136</v>
      </c>
    </row>
    <row r="105" spans="1:7">
      <c r="A105" s="1" t="s">
        <v>35</v>
      </c>
      <c r="B105" s="1" t="s">
        <v>32</v>
      </c>
      <c r="C105" s="2" t="s">
        <v>22</v>
      </c>
      <c r="D105" s="4">
        <v>0.15940416666666701</v>
      </c>
      <c r="E105" s="1">
        <v>5.0000000000000001E-3</v>
      </c>
      <c r="F105" s="4">
        <f t="shared" si="2"/>
        <v>0.15440416666666701</v>
      </c>
      <c r="G105" s="1">
        <f t="shared" si="3"/>
        <v>6.6543288750000151</v>
      </c>
    </row>
    <row r="106" spans="1:7">
      <c r="A106" s="1" t="s">
        <v>35</v>
      </c>
      <c r="B106" s="1" t="s">
        <v>32</v>
      </c>
      <c r="C106" s="2" t="s">
        <v>23</v>
      </c>
      <c r="D106" s="4">
        <v>0.14610416666666701</v>
      </c>
      <c r="E106" s="1">
        <v>5.0000000000000001E-3</v>
      </c>
      <c r="F106" s="4">
        <f t="shared" si="2"/>
        <v>0.141104166666667</v>
      </c>
      <c r="G106" s="1">
        <f t="shared" si="3"/>
        <v>6.0833598750000144</v>
      </c>
    </row>
    <row r="107" spans="1:7">
      <c r="A107" s="1" t="s">
        <v>35</v>
      </c>
      <c r="B107" s="1" t="s">
        <v>32</v>
      </c>
      <c r="C107" s="2" t="s">
        <v>24</v>
      </c>
      <c r="D107" s="4">
        <v>0.141104166666667</v>
      </c>
      <c r="E107" s="1">
        <v>5.0000000000000001E-3</v>
      </c>
      <c r="F107" s="4">
        <f t="shared" si="2"/>
        <v>0.136104166666667</v>
      </c>
      <c r="G107" s="1">
        <f t="shared" si="3"/>
        <v>5.8687098750000137</v>
      </c>
    </row>
    <row r="108" spans="1:7">
      <c r="A108" s="1" t="s">
        <v>35</v>
      </c>
      <c r="B108" s="1" t="s">
        <v>32</v>
      </c>
      <c r="C108" s="2" t="s">
        <v>26</v>
      </c>
      <c r="D108" s="4">
        <v>0.14800416666666699</v>
      </c>
      <c r="E108" s="1">
        <v>5.0000000000000001E-3</v>
      </c>
      <c r="F108" s="4">
        <f t="shared" si="2"/>
        <v>0.14300416666666699</v>
      </c>
      <c r="G108" s="1">
        <f t="shared" si="3"/>
        <v>6.1649268750000132</v>
      </c>
    </row>
    <row r="109" spans="1:7">
      <c r="A109" s="1" t="s">
        <v>35</v>
      </c>
      <c r="B109" s="1" t="s">
        <v>32</v>
      </c>
      <c r="C109" s="2" t="s">
        <v>27</v>
      </c>
      <c r="D109" s="4">
        <v>0.133304166666667</v>
      </c>
      <c r="E109" s="1">
        <v>5.0000000000000001E-3</v>
      </c>
      <c r="F109" s="4">
        <f t="shared" si="2"/>
        <v>0.128304166666667</v>
      </c>
      <c r="G109" s="1">
        <f t="shared" si="3"/>
        <v>5.5338558750000137</v>
      </c>
    </row>
    <row r="110" spans="1:7">
      <c r="A110" s="1" t="s">
        <v>35</v>
      </c>
      <c r="B110" s="1" t="s">
        <v>33</v>
      </c>
      <c r="C110" s="2" t="s">
        <v>4</v>
      </c>
      <c r="D110" s="4">
        <v>0.147945833333333</v>
      </c>
      <c r="E110" s="1">
        <v>5.0000000000000001E-3</v>
      </c>
      <c r="F110" s="4">
        <f t="shared" si="2"/>
        <v>0.14294583333333299</v>
      </c>
      <c r="G110" s="1">
        <f t="shared" si="3"/>
        <v>6.1624226249999854</v>
      </c>
    </row>
    <row r="111" spans="1:7">
      <c r="A111" s="1" t="s">
        <v>35</v>
      </c>
      <c r="B111" s="1" t="s">
        <v>33</v>
      </c>
      <c r="C111" s="2" t="s">
        <v>6</v>
      </c>
      <c r="D111" s="4">
        <v>0.16594583333333299</v>
      </c>
      <c r="E111" s="1">
        <v>5.0000000000000001E-3</v>
      </c>
      <c r="F111" s="4">
        <f t="shared" si="2"/>
        <v>0.16094583333333298</v>
      </c>
      <c r="G111" s="1">
        <f t="shared" si="3"/>
        <v>6.9351626249999843</v>
      </c>
    </row>
    <row r="112" spans="1:7">
      <c r="A112" s="1" t="s">
        <v>35</v>
      </c>
      <c r="B112" s="1" t="s">
        <v>33</v>
      </c>
      <c r="C112" s="2" t="s">
        <v>7</v>
      </c>
      <c r="D112" s="4">
        <v>0.14094583333333299</v>
      </c>
      <c r="E112" s="1">
        <v>5.0000000000000001E-3</v>
      </c>
      <c r="F112" s="4">
        <f t="shared" si="2"/>
        <v>0.13594583333333299</v>
      </c>
      <c r="G112" s="1">
        <f t="shared" si="3"/>
        <v>5.8619126249999844</v>
      </c>
    </row>
    <row r="113" spans="1:7">
      <c r="A113" s="1" t="s">
        <v>35</v>
      </c>
      <c r="B113" s="1" t="s">
        <v>33</v>
      </c>
      <c r="C113" s="2" t="s">
        <v>8</v>
      </c>
      <c r="D113" s="4">
        <v>0.135845833333333</v>
      </c>
      <c r="E113" s="1">
        <v>5.0000000000000001E-3</v>
      </c>
      <c r="F113" s="4">
        <f t="shared" si="2"/>
        <v>0.13084583333333299</v>
      </c>
      <c r="G113" s="1">
        <f t="shared" si="3"/>
        <v>5.642969624999985</v>
      </c>
    </row>
    <row r="114" spans="1:7">
      <c r="A114" s="1" t="s">
        <v>35</v>
      </c>
      <c r="B114" s="1" t="s">
        <v>33</v>
      </c>
      <c r="C114" s="2" t="s">
        <v>10</v>
      </c>
      <c r="D114" s="4">
        <v>0.172345833333333</v>
      </c>
      <c r="E114" s="1">
        <v>5.0000000000000001E-3</v>
      </c>
      <c r="F114" s="4">
        <f t="shared" si="2"/>
        <v>0.167345833333333</v>
      </c>
      <c r="G114" s="1">
        <f t="shared" si="3"/>
        <v>7.2099146249999855</v>
      </c>
    </row>
    <row r="115" spans="1:7">
      <c r="A115" s="1" t="s">
        <v>35</v>
      </c>
      <c r="B115" s="1" t="s">
        <v>33</v>
      </c>
      <c r="C115" s="2" t="s">
        <v>11</v>
      </c>
      <c r="D115" s="4">
        <v>0.15494583333333301</v>
      </c>
      <c r="E115" s="1">
        <v>5.0000000000000001E-3</v>
      </c>
      <c r="F115" s="4">
        <f t="shared" si="2"/>
        <v>0.149945833333333</v>
      </c>
      <c r="G115" s="1">
        <f t="shared" si="3"/>
        <v>6.4629326249999854</v>
      </c>
    </row>
    <row r="116" spans="1:7">
      <c r="A116" s="1" t="s">
        <v>35</v>
      </c>
      <c r="B116" s="1" t="s">
        <v>33</v>
      </c>
      <c r="C116" s="2" t="s">
        <v>12</v>
      </c>
      <c r="D116" s="4">
        <v>0.13044583333333301</v>
      </c>
      <c r="E116" s="1">
        <v>5.0000000000000001E-3</v>
      </c>
      <c r="F116" s="4">
        <f t="shared" si="2"/>
        <v>0.12544583333333301</v>
      </c>
      <c r="G116" s="1">
        <f t="shared" si="3"/>
        <v>5.4111476249999857</v>
      </c>
    </row>
    <row r="117" spans="1:7">
      <c r="A117" s="1" t="s">
        <v>35</v>
      </c>
      <c r="B117" s="1" t="s">
        <v>33</v>
      </c>
      <c r="C117" s="2" t="s">
        <v>14</v>
      </c>
      <c r="D117" s="4">
        <v>0.124145833333333</v>
      </c>
      <c r="E117" s="1">
        <v>5.0000000000000001E-3</v>
      </c>
      <c r="F117" s="4">
        <f t="shared" si="2"/>
        <v>0.11914583333333299</v>
      </c>
      <c r="G117" s="1">
        <f t="shared" si="3"/>
        <v>5.140688624999985</v>
      </c>
    </row>
    <row r="118" spans="1:7">
      <c r="A118" s="1" t="s">
        <v>35</v>
      </c>
      <c r="B118" s="1" t="s">
        <v>33</v>
      </c>
      <c r="C118" s="2" t="s">
        <v>15</v>
      </c>
      <c r="D118" s="4">
        <v>0.13264583333333299</v>
      </c>
      <c r="E118" s="1">
        <v>5.0000000000000001E-3</v>
      </c>
      <c r="F118" s="4">
        <f t="shared" si="2"/>
        <v>0.12764583333333299</v>
      </c>
      <c r="G118" s="1">
        <f t="shared" si="3"/>
        <v>5.5055936249999844</v>
      </c>
    </row>
    <row r="119" spans="1:7">
      <c r="A119" s="1" t="s">
        <v>35</v>
      </c>
      <c r="B119" s="1" t="s">
        <v>33</v>
      </c>
      <c r="C119" s="2" t="s">
        <v>16</v>
      </c>
      <c r="D119" s="4">
        <v>0.23004583333333301</v>
      </c>
      <c r="E119" s="1">
        <v>5.0000000000000001E-3</v>
      </c>
      <c r="F119" s="4">
        <f t="shared" si="2"/>
        <v>0.225045833333333</v>
      </c>
      <c r="G119" s="1">
        <f t="shared" si="3"/>
        <v>9.6869756249999845</v>
      </c>
    </row>
    <row r="120" spans="1:7">
      <c r="A120" s="1" t="s">
        <v>35</v>
      </c>
      <c r="B120" s="1" t="s">
        <v>33</v>
      </c>
      <c r="C120" s="2" t="s">
        <v>18</v>
      </c>
      <c r="D120" s="4">
        <v>0.36644583333333303</v>
      </c>
      <c r="E120" s="1">
        <v>5.0000000000000001E-3</v>
      </c>
      <c r="F120" s="4">
        <f t="shared" si="2"/>
        <v>0.36144583333333302</v>
      </c>
      <c r="G120" s="1">
        <f t="shared" si="3"/>
        <v>15.542627624999986</v>
      </c>
    </row>
    <row r="121" spans="1:7">
      <c r="A121" s="1" t="s">
        <v>35</v>
      </c>
      <c r="B121" s="1" t="s">
        <v>33</v>
      </c>
      <c r="C121" s="2" t="s">
        <v>19</v>
      </c>
      <c r="D121" s="4">
        <v>0.120445833333333</v>
      </c>
      <c r="E121" s="1">
        <v>5.0000000000000001E-3</v>
      </c>
      <c r="F121" s="4">
        <f t="shared" si="2"/>
        <v>0.115445833333333</v>
      </c>
      <c r="G121" s="1">
        <f t="shared" si="3"/>
        <v>4.9818476249999861</v>
      </c>
    </row>
    <row r="122" spans="1:7">
      <c r="A122" s="1" t="s">
        <v>35</v>
      </c>
      <c r="B122" s="1" t="s">
        <v>33</v>
      </c>
      <c r="C122" s="2" t="s">
        <v>20</v>
      </c>
      <c r="D122" s="4">
        <v>0.157745833333333</v>
      </c>
      <c r="E122" s="1">
        <v>5.0000000000000001E-3</v>
      </c>
      <c r="F122" s="4">
        <f t="shared" si="2"/>
        <v>0.152745833333333</v>
      </c>
      <c r="G122" s="1">
        <f t="shared" si="3"/>
        <v>6.5831366249999856</v>
      </c>
    </row>
    <row r="123" spans="1:7">
      <c r="A123" s="1" t="s">
        <v>35</v>
      </c>
      <c r="B123" s="1" t="s">
        <v>33</v>
      </c>
      <c r="C123" s="2" t="s">
        <v>22</v>
      </c>
      <c r="D123" s="4">
        <v>0.12614583333333301</v>
      </c>
      <c r="E123" s="1">
        <v>5.0000000000000001E-3</v>
      </c>
      <c r="F123" s="4">
        <f t="shared" si="2"/>
        <v>0.12114583333333301</v>
      </c>
      <c r="G123" s="1">
        <f t="shared" si="3"/>
        <v>5.2265486249999871</v>
      </c>
    </row>
    <row r="124" spans="1:7">
      <c r="A124" s="1" t="s">
        <v>35</v>
      </c>
      <c r="B124" s="1" t="s">
        <v>33</v>
      </c>
      <c r="C124" s="2" t="s">
        <v>23</v>
      </c>
      <c r="D124" s="4">
        <v>0.13614583333333299</v>
      </c>
      <c r="E124" s="1">
        <v>5.0000000000000001E-3</v>
      </c>
      <c r="F124" s="4">
        <f t="shared" si="2"/>
        <v>0.13114583333333299</v>
      </c>
      <c r="G124" s="1">
        <f t="shared" si="3"/>
        <v>5.655848624999984</v>
      </c>
    </row>
    <row r="125" spans="1:7">
      <c r="A125" s="1" t="s">
        <v>35</v>
      </c>
      <c r="B125" s="1" t="s">
        <v>33</v>
      </c>
      <c r="C125" s="2" t="s">
        <v>24</v>
      </c>
      <c r="D125" s="4">
        <v>0.16524583333333301</v>
      </c>
      <c r="E125" s="1">
        <v>5.0000000000000001E-3</v>
      </c>
      <c r="F125" s="4">
        <f t="shared" si="2"/>
        <v>0.160245833333333</v>
      </c>
      <c r="G125" s="1">
        <f t="shared" si="3"/>
        <v>6.9051116249999849</v>
      </c>
    </row>
    <row r="126" spans="1:7">
      <c r="A126" s="1" t="s">
        <v>35</v>
      </c>
      <c r="B126" s="1" t="s">
        <v>33</v>
      </c>
      <c r="C126" s="2" t="s">
        <v>26</v>
      </c>
      <c r="D126" s="4">
        <v>0.13214583333333299</v>
      </c>
      <c r="E126" s="1">
        <v>5.0000000000000001E-3</v>
      </c>
      <c r="F126" s="4">
        <f t="shared" si="2"/>
        <v>0.12714583333333299</v>
      </c>
      <c r="G126" s="1">
        <f t="shared" si="3"/>
        <v>5.4841286249999843</v>
      </c>
    </row>
    <row r="127" spans="1:7">
      <c r="A127" s="1" t="s">
        <v>35</v>
      </c>
      <c r="B127" s="1" t="s">
        <v>33</v>
      </c>
      <c r="C127" s="2" t="s">
        <v>27</v>
      </c>
      <c r="D127" s="4">
        <v>0.14004583333333301</v>
      </c>
      <c r="E127" s="1">
        <v>5.0000000000000001E-3</v>
      </c>
      <c r="F127" s="4">
        <f t="shared" si="2"/>
        <v>0.135045833333333</v>
      </c>
      <c r="G127" s="1">
        <f t="shared" si="3"/>
        <v>5.8232756249999866</v>
      </c>
    </row>
    <row r="128" spans="1:7">
      <c r="A128" s="1" t="s">
        <v>35</v>
      </c>
      <c r="B128" s="1" t="s">
        <v>34</v>
      </c>
      <c r="C128" s="2" t="s">
        <v>4</v>
      </c>
      <c r="D128" s="4">
        <v>0.13694583333333299</v>
      </c>
      <c r="E128" s="1">
        <v>5.0000000000000001E-3</v>
      </c>
      <c r="F128" s="4">
        <f t="shared" si="2"/>
        <v>0.13194583333333298</v>
      </c>
      <c r="G128" s="1">
        <f t="shared" si="3"/>
        <v>5.6901926249999848</v>
      </c>
    </row>
    <row r="129" spans="1:7">
      <c r="A129" s="1" t="s">
        <v>35</v>
      </c>
      <c r="B129" s="1" t="s">
        <v>34</v>
      </c>
      <c r="C129" s="2" t="s">
        <v>6</v>
      </c>
      <c r="D129" s="4">
        <v>0.160245833333333</v>
      </c>
      <c r="E129" s="1">
        <v>5.0000000000000001E-3</v>
      </c>
      <c r="F129" s="4">
        <f t="shared" si="2"/>
        <v>0.155245833333333</v>
      </c>
      <c r="G129" s="1">
        <f t="shared" si="3"/>
        <v>6.6904616249999851</v>
      </c>
    </row>
    <row r="130" spans="1:7">
      <c r="A130" s="1" t="s">
        <v>35</v>
      </c>
      <c r="B130" s="1" t="s">
        <v>34</v>
      </c>
      <c r="C130" s="2" t="s">
        <v>7</v>
      </c>
      <c r="D130" s="4">
        <v>0.12764583333333299</v>
      </c>
      <c r="E130" s="1">
        <v>5.0000000000000001E-3</v>
      </c>
      <c r="F130" s="4">
        <f t="shared" si="2"/>
        <v>0.12264583333333298</v>
      </c>
      <c r="G130" s="1">
        <f t="shared" si="3"/>
        <v>5.2909436249999855</v>
      </c>
    </row>
    <row r="131" spans="1:7">
      <c r="A131" s="1" t="s">
        <v>35</v>
      </c>
      <c r="B131" s="1" t="s">
        <v>34</v>
      </c>
      <c r="C131" s="2" t="s">
        <v>8</v>
      </c>
      <c r="D131" s="4">
        <v>0.160545833333333</v>
      </c>
      <c r="E131" s="1">
        <v>5.0000000000000001E-3</v>
      </c>
      <c r="F131" s="4">
        <f t="shared" ref="F131:F194" si="4">D131-E131</f>
        <v>0.15554583333333299</v>
      </c>
      <c r="G131" s="1">
        <f t="shared" ref="G131:G194" si="5">0.2862*(F131+0.0006)*1.5/0.01</f>
        <v>6.7033406249999841</v>
      </c>
    </row>
    <row r="132" spans="1:7">
      <c r="A132" s="1" t="s">
        <v>35</v>
      </c>
      <c r="B132" s="1" t="s">
        <v>34</v>
      </c>
      <c r="C132" s="2" t="s">
        <v>10</v>
      </c>
      <c r="D132" s="4">
        <v>0.11424583333333301</v>
      </c>
      <c r="E132" s="1">
        <v>5.0000000000000001E-3</v>
      </c>
      <c r="F132" s="4">
        <f t="shared" si="4"/>
        <v>0.109245833333333</v>
      </c>
      <c r="G132" s="1">
        <f t="shared" si="5"/>
        <v>4.715681624999986</v>
      </c>
    </row>
    <row r="133" spans="1:7">
      <c r="A133" s="1" t="s">
        <v>35</v>
      </c>
      <c r="B133" s="1" t="s">
        <v>34</v>
      </c>
      <c r="C133" s="2" t="s">
        <v>11</v>
      </c>
      <c r="D133" s="4">
        <v>0.140145833333333</v>
      </c>
      <c r="E133" s="1">
        <v>5.0000000000000001E-3</v>
      </c>
      <c r="F133" s="4">
        <f t="shared" si="4"/>
        <v>0.13514583333333299</v>
      </c>
      <c r="G133" s="1">
        <f t="shared" si="5"/>
        <v>5.8275686249999845</v>
      </c>
    </row>
    <row r="134" spans="1:7">
      <c r="A134" s="1" t="s">
        <v>35</v>
      </c>
      <c r="B134" s="1" t="s">
        <v>34</v>
      </c>
      <c r="C134" s="2" t="s">
        <v>12</v>
      </c>
      <c r="D134" s="4">
        <v>0.129545833333333</v>
      </c>
      <c r="E134" s="1">
        <v>5.0000000000000001E-3</v>
      </c>
      <c r="F134" s="4">
        <f t="shared" si="4"/>
        <v>0.12454583333333299</v>
      </c>
      <c r="G134" s="1">
        <f t="shared" si="5"/>
        <v>5.3725106249999852</v>
      </c>
    </row>
    <row r="135" spans="1:7">
      <c r="A135" s="1" t="s">
        <v>35</v>
      </c>
      <c r="B135" s="1" t="s">
        <v>34</v>
      </c>
      <c r="C135" s="2" t="s">
        <v>14</v>
      </c>
      <c r="D135" s="4">
        <v>0.108745833333333</v>
      </c>
      <c r="E135" s="1">
        <v>5.0000000000000001E-3</v>
      </c>
      <c r="F135" s="4">
        <f t="shared" si="4"/>
        <v>0.103745833333333</v>
      </c>
      <c r="G135" s="1">
        <f t="shared" si="5"/>
        <v>4.4795666249999853</v>
      </c>
    </row>
    <row r="136" spans="1:7">
      <c r="A136" s="1" t="s">
        <v>35</v>
      </c>
      <c r="B136" s="1" t="s">
        <v>34</v>
      </c>
      <c r="C136" s="2" t="s">
        <v>15</v>
      </c>
      <c r="D136" s="4">
        <v>0.14284583333333301</v>
      </c>
      <c r="E136" s="1">
        <v>5.0000000000000001E-3</v>
      </c>
      <c r="F136" s="4">
        <f t="shared" si="4"/>
        <v>0.137845833333333</v>
      </c>
      <c r="G136" s="1">
        <f t="shared" si="5"/>
        <v>5.9434796249999851</v>
      </c>
    </row>
    <row r="137" spans="1:7">
      <c r="A137" s="1" t="s">
        <v>35</v>
      </c>
      <c r="B137" s="1" t="s">
        <v>34</v>
      </c>
      <c r="C137" s="2" t="s">
        <v>16</v>
      </c>
      <c r="D137" s="4">
        <v>0.115045833333333</v>
      </c>
      <c r="E137" s="1">
        <v>5.0000000000000001E-3</v>
      </c>
      <c r="F137" s="4">
        <f t="shared" si="4"/>
        <v>0.110045833333333</v>
      </c>
      <c r="G137" s="1">
        <f t="shared" si="5"/>
        <v>4.7500256249999859</v>
      </c>
    </row>
    <row r="138" spans="1:7">
      <c r="A138" s="1" t="s">
        <v>35</v>
      </c>
      <c r="B138" s="1" t="s">
        <v>34</v>
      </c>
      <c r="C138" s="2" t="s">
        <v>18</v>
      </c>
      <c r="D138" s="4">
        <v>0.122645833333333</v>
      </c>
      <c r="E138" s="1">
        <v>5.0000000000000001E-3</v>
      </c>
      <c r="F138" s="4">
        <f t="shared" si="4"/>
        <v>0.11764583333333299</v>
      </c>
      <c r="G138" s="1">
        <f t="shared" si="5"/>
        <v>5.0762936249999848</v>
      </c>
    </row>
    <row r="139" spans="1:7">
      <c r="A139" s="1" t="s">
        <v>35</v>
      </c>
      <c r="B139" s="1" t="s">
        <v>34</v>
      </c>
      <c r="C139" s="2" t="s">
        <v>19</v>
      </c>
      <c r="D139" s="4">
        <v>0.15714583333333301</v>
      </c>
      <c r="E139" s="1">
        <v>5.0000000000000001E-3</v>
      </c>
      <c r="F139" s="4">
        <f t="shared" si="4"/>
        <v>0.15214583333333301</v>
      </c>
      <c r="G139" s="1">
        <f t="shared" si="5"/>
        <v>6.5573786249999859</v>
      </c>
    </row>
    <row r="140" spans="1:7">
      <c r="A140" s="1" t="s">
        <v>35</v>
      </c>
      <c r="B140" s="1" t="s">
        <v>34</v>
      </c>
      <c r="C140" s="2" t="s">
        <v>20</v>
      </c>
      <c r="D140" s="4">
        <v>0.15934583333333299</v>
      </c>
      <c r="E140" s="1">
        <v>5.0000000000000001E-3</v>
      </c>
      <c r="F140" s="4">
        <f t="shared" si="4"/>
        <v>0.15434583333333299</v>
      </c>
      <c r="G140" s="1">
        <f t="shared" si="5"/>
        <v>6.6518246249999855</v>
      </c>
    </row>
    <row r="141" spans="1:7">
      <c r="A141" s="1" t="s">
        <v>35</v>
      </c>
      <c r="B141" s="1" t="s">
        <v>34</v>
      </c>
      <c r="C141" s="2" t="s">
        <v>22</v>
      </c>
      <c r="D141" s="4">
        <v>0.138345833333333</v>
      </c>
      <c r="E141" s="1">
        <v>5.0000000000000001E-3</v>
      </c>
      <c r="F141" s="4">
        <f t="shared" si="4"/>
        <v>0.133345833333333</v>
      </c>
      <c r="G141" s="1">
        <f t="shared" si="5"/>
        <v>5.7502946249999853</v>
      </c>
    </row>
    <row r="142" spans="1:7">
      <c r="A142" s="1" t="s">
        <v>35</v>
      </c>
      <c r="B142" s="1" t="s">
        <v>34</v>
      </c>
      <c r="C142" s="2" t="s">
        <v>23</v>
      </c>
      <c r="D142" s="4">
        <v>0.145945833333333</v>
      </c>
      <c r="E142" s="1">
        <v>5.0000000000000001E-3</v>
      </c>
      <c r="F142" s="4">
        <f t="shared" si="4"/>
        <v>0.14094583333333299</v>
      </c>
      <c r="G142" s="1">
        <f t="shared" si="5"/>
        <v>6.076562624999986</v>
      </c>
    </row>
    <row r="143" spans="1:7">
      <c r="A143" s="1" t="s">
        <v>35</v>
      </c>
      <c r="B143" s="1" t="s">
        <v>34</v>
      </c>
      <c r="C143" s="2" t="s">
        <v>24</v>
      </c>
      <c r="D143" s="4">
        <v>0.170845833333333</v>
      </c>
      <c r="E143" s="1">
        <v>5.0000000000000001E-3</v>
      </c>
      <c r="F143" s="4">
        <f t="shared" si="4"/>
        <v>0.165845833333333</v>
      </c>
      <c r="G143" s="1">
        <f t="shared" si="5"/>
        <v>7.1455196249999853</v>
      </c>
    </row>
    <row r="144" spans="1:7">
      <c r="A144" s="1" t="s">
        <v>35</v>
      </c>
      <c r="B144" s="1" t="s">
        <v>34</v>
      </c>
      <c r="C144" s="2" t="s">
        <v>26</v>
      </c>
      <c r="D144" s="4">
        <v>0.13944583333333299</v>
      </c>
      <c r="E144" s="1">
        <v>5.0000000000000001E-3</v>
      </c>
      <c r="F144" s="4">
        <f t="shared" si="4"/>
        <v>0.13444583333333299</v>
      </c>
      <c r="G144" s="1">
        <f t="shared" si="5"/>
        <v>5.7975176249999851</v>
      </c>
    </row>
    <row r="145" spans="1:7">
      <c r="A145" s="1" t="s">
        <v>35</v>
      </c>
      <c r="B145" s="1" t="s">
        <v>34</v>
      </c>
      <c r="C145" s="2" t="s">
        <v>27</v>
      </c>
      <c r="D145" s="4">
        <v>0.17534583333333301</v>
      </c>
      <c r="E145" s="1">
        <v>5.0000000000000001E-3</v>
      </c>
      <c r="F145" s="4">
        <f t="shared" si="4"/>
        <v>0.170345833333333</v>
      </c>
      <c r="G145" s="1">
        <f t="shared" si="5"/>
        <v>7.3387046249999868</v>
      </c>
    </row>
    <row r="146" spans="1:7">
      <c r="A146" s="1" t="s">
        <v>36</v>
      </c>
      <c r="B146" s="1" t="s">
        <v>37</v>
      </c>
      <c r="C146" s="2" t="s">
        <v>4</v>
      </c>
      <c r="D146" s="4">
        <v>0.13325416666666701</v>
      </c>
      <c r="E146" s="1">
        <v>5.0000000000000001E-3</v>
      </c>
      <c r="F146" s="4">
        <f t="shared" si="4"/>
        <v>0.128254166666667</v>
      </c>
      <c r="G146" s="1">
        <f t="shared" si="5"/>
        <v>5.5317093750000144</v>
      </c>
    </row>
    <row r="147" spans="1:7">
      <c r="A147" s="1" t="s">
        <v>36</v>
      </c>
      <c r="B147" s="1" t="s">
        <v>37</v>
      </c>
      <c r="C147" s="2" t="s">
        <v>6</v>
      </c>
      <c r="D147" s="4">
        <v>0.149154166666667</v>
      </c>
      <c r="E147" s="1">
        <v>5.0000000000000001E-3</v>
      </c>
      <c r="F147" s="4">
        <f t="shared" si="4"/>
        <v>0.144154166666667</v>
      </c>
      <c r="G147" s="1">
        <f t="shared" si="5"/>
        <v>6.2142963750000142</v>
      </c>
    </row>
    <row r="148" spans="1:7">
      <c r="A148" s="1" t="s">
        <v>36</v>
      </c>
      <c r="B148" s="1" t="s">
        <v>37</v>
      </c>
      <c r="C148" s="2" t="s">
        <v>7</v>
      </c>
      <c r="D148" s="4">
        <v>0.124354166666667</v>
      </c>
      <c r="E148" s="1">
        <v>5.0000000000000001E-3</v>
      </c>
      <c r="F148" s="4">
        <f t="shared" si="4"/>
        <v>0.119354166666667</v>
      </c>
      <c r="G148" s="1">
        <f t="shared" si="5"/>
        <v>5.1496323750000137</v>
      </c>
    </row>
    <row r="149" spans="1:7">
      <c r="A149" s="1" t="s">
        <v>36</v>
      </c>
      <c r="B149" s="1" t="s">
        <v>37</v>
      </c>
      <c r="C149" s="2" t="s">
        <v>8</v>
      </c>
      <c r="D149" s="4">
        <v>0.122854166666667</v>
      </c>
      <c r="E149" s="1">
        <v>5.0000000000000001E-3</v>
      </c>
      <c r="F149" s="4">
        <f t="shared" si="4"/>
        <v>0.117854166666667</v>
      </c>
      <c r="G149" s="1">
        <f t="shared" si="5"/>
        <v>5.0852373750000144</v>
      </c>
    </row>
    <row r="150" spans="1:7">
      <c r="A150" s="1" t="s">
        <v>36</v>
      </c>
      <c r="B150" s="1" t="s">
        <v>37</v>
      </c>
      <c r="C150" s="2" t="s">
        <v>10</v>
      </c>
      <c r="D150" s="4">
        <v>0.15085416666666701</v>
      </c>
      <c r="E150" s="1">
        <v>5.0000000000000001E-3</v>
      </c>
      <c r="F150" s="4">
        <f t="shared" si="4"/>
        <v>0.14585416666666701</v>
      </c>
      <c r="G150" s="1">
        <f t="shared" si="5"/>
        <v>6.2872773750000155</v>
      </c>
    </row>
    <row r="151" spans="1:7">
      <c r="A151" s="1" t="s">
        <v>36</v>
      </c>
      <c r="B151" s="1" t="s">
        <v>37</v>
      </c>
      <c r="C151" s="2" t="s">
        <v>11</v>
      </c>
      <c r="D151" s="4">
        <v>0.13015416666666699</v>
      </c>
      <c r="E151" s="1">
        <v>5.0000000000000001E-3</v>
      </c>
      <c r="F151" s="4">
        <f t="shared" si="4"/>
        <v>0.12515416666666698</v>
      </c>
      <c r="G151" s="1">
        <f t="shared" si="5"/>
        <v>5.3986263750000134</v>
      </c>
    </row>
    <row r="152" spans="1:7">
      <c r="A152" s="1" t="s">
        <v>36</v>
      </c>
      <c r="B152" s="1" t="s">
        <v>37</v>
      </c>
      <c r="C152" s="2" t="s">
        <v>12</v>
      </c>
      <c r="D152" s="4">
        <v>9.8454166666666704E-2</v>
      </c>
      <c r="E152" s="1">
        <v>5.0000000000000001E-3</v>
      </c>
      <c r="F152" s="4">
        <f t="shared" si="4"/>
        <v>9.3454166666666699E-2</v>
      </c>
      <c r="G152" s="1">
        <f t="shared" si="5"/>
        <v>4.037745375000001</v>
      </c>
    </row>
    <row r="153" spans="1:7">
      <c r="A153" s="1" t="s">
        <v>36</v>
      </c>
      <c r="B153" s="1" t="s">
        <v>37</v>
      </c>
      <c r="C153" s="2" t="s">
        <v>14</v>
      </c>
      <c r="D153" s="4">
        <v>0.12015416666666701</v>
      </c>
      <c r="E153" s="1">
        <v>5.0000000000000001E-3</v>
      </c>
      <c r="F153" s="4">
        <f t="shared" si="4"/>
        <v>0.115154166666667</v>
      </c>
      <c r="G153" s="1">
        <f t="shared" si="5"/>
        <v>4.9693263750000147</v>
      </c>
    </row>
    <row r="154" spans="1:7">
      <c r="A154" s="1" t="s">
        <v>36</v>
      </c>
      <c r="B154" s="1" t="s">
        <v>37</v>
      </c>
      <c r="C154" s="2" t="s">
        <v>15</v>
      </c>
      <c r="D154" s="4">
        <v>0.12165416666666699</v>
      </c>
      <c r="E154" s="1">
        <v>5.0000000000000001E-3</v>
      </c>
      <c r="F154" s="4">
        <f t="shared" si="4"/>
        <v>0.11665416666666699</v>
      </c>
      <c r="G154" s="1">
        <f t="shared" si="5"/>
        <v>5.033721375000014</v>
      </c>
    </row>
    <row r="155" spans="1:7">
      <c r="A155" s="1" t="s">
        <v>36</v>
      </c>
      <c r="B155" s="1" t="s">
        <v>37</v>
      </c>
      <c r="C155" s="2" t="s">
        <v>16</v>
      </c>
      <c r="D155" s="4">
        <v>0.15655416666666699</v>
      </c>
      <c r="E155" s="1">
        <v>5.0000000000000001E-3</v>
      </c>
      <c r="F155" s="4">
        <f t="shared" si="4"/>
        <v>0.15155416666666699</v>
      </c>
      <c r="G155" s="1">
        <f t="shared" si="5"/>
        <v>6.5319783750000138</v>
      </c>
    </row>
    <row r="156" spans="1:7">
      <c r="A156" s="1" t="s">
        <v>36</v>
      </c>
      <c r="B156" s="1" t="s">
        <v>37</v>
      </c>
      <c r="C156" s="2" t="s">
        <v>18</v>
      </c>
      <c r="D156" s="4">
        <v>0.12305416666666701</v>
      </c>
      <c r="E156" s="1">
        <v>5.0000000000000001E-3</v>
      </c>
      <c r="F156" s="4">
        <f t="shared" si="4"/>
        <v>0.118054166666667</v>
      </c>
      <c r="G156" s="1">
        <f t="shared" si="5"/>
        <v>5.0938233750000146</v>
      </c>
    </row>
    <row r="157" spans="1:7">
      <c r="A157" s="1" t="s">
        <v>36</v>
      </c>
      <c r="B157" s="1" t="s">
        <v>37</v>
      </c>
      <c r="C157" s="2" t="s">
        <v>19</v>
      </c>
      <c r="D157" s="4">
        <v>0.149454166666667</v>
      </c>
      <c r="E157" s="1">
        <v>5.0000000000000001E-3</v>
      </c>
      <c r="F157" s="4">
        <f t="shared" si="4"/>
        <v>0.14445416666666699</v>
      </c>
      <c r="G157" s="1">
        <f t="shared" si="5"/>
        <v>6.2271753750000141</v>
      </c>
    </row>
    <row r="158" spans="1:7">
      <c r="A158" s="1" t="s">
        <v>36</v>
      </c>
      <c r="B158" s="1" t="s">
        <v>37</v>
      </c>
      <c r="C158" s="2" t="s">
        <v>20</v>
      </c>
      <c r="D158" s="4">
        <v>0.115554166666667</v>
      </c>
      <c r="E158" s="1">
        <v>5.0000000000000001E-3</v>
      </c>
      <c r="F158" s="4">
        <f t="shared" si="4"/>
        <v>0.11055416666666699</v>
      </c>
      <c r="G158" s="1">
        <f t="shared" si="5"/>
        <v>4.7718483750000136</v>
      </c>
    </row>
    <row r="159" spans="1:7">
      <c r="A159" s="1" t="s">
        <v>36</v>
      </c>
      <c r="B159" s="1" t="s">
        <v>37</v>
      </c>
      <c r="C159" s="2" t="s">
        <v>22</v>
      </c>
      <c r="D159" s="4">
        <v>0.119854166666667</v>
      </c>
      <c r="E159" s="1">
        <v>5.0000000000000001E-3</v>
      </c>
      <c r="F159" s="4">
        <f t="shared" si="4"/>
        <v>0.11485416666666699</v>
      </c>
      <c r="G159" s="1">
        <f t="shared" si="5"/>
        <v>4.956447375000014</v>
      </c>
    </row>
    <row r="160" spans="1:7">
      <c r="A160" s="1" t="s">
        <v>36</v>
      </c>
      <c r="B160" s="1" t="s">
        <v>37</v>
      </c>
      <c r="C160" s="2" t="s">
        <v>23</v>
      </c>
      <c r="D160" s="4">
        <v>0.117654166666667</v>
      </c>
      <c r="E160" s="1">
        <v>5.0000000000000001E-3</v>
      </c>
      <c r="F160" s="4">
        <f t="shared" si="4"/>
        <v>0.112654166666667</v>
      </c>
      <c r="G160" s="1">
        <f t="shared" si="5"/>
        <v>4.8620013750000144</v>
      </c>
    </row>
    <row r="161" spans="1:7">
      <c r="A161" s="1" t="s">
        <v>36</v>
      </c>
      <c r="B161" s="1" t="s">
        <v>37</v>
      </c>
      <c r="C161" s="2" t="s">
        <v>24</v>
      </c>
      <c r="D161" s="4">
        <v>0.136354166666667</v>
      </c>
      <c r="E161" s="1">
        <v>5.0000000000000001E-3</v>
      </c>
      <c r="F161" s="4">
        <f t="shared" si="4"/>
        <v>0.13135416666666699</v>
      </c>
      <c r="G161" s="1">
        <f t="shared" si="5"/>
        <v>5.6647923750000144</v>
      </c>
    </row>
    <row r="162" spans="1:7">
      <c r="A162" s="1" t="s">
        <v>36</v>
      </c>
      <c r="B162" s="1" t="s">
        <v>37</v>
      </c>
      <c r="C162" s="2" t="s">
        <v>26</v>
      </c>
      <c r="D162" s="4">
        <v>0.11775416666666701</v>
      </c>
      <c r="E162" s="1">
        <v>5.0000000000000001E-3</v>
      </c>
      <c r="F162" s="4">
        <f t="shared" si="4"/>
        <v>0.112754166666667</v>
      </c>
      <c r="G162" s="1">
        <f t="shared" si="5"/>
        <v>4.866294375000014</v>
      </c>
    </row>
    <row r="163" spans="1:7">
      <c r="A163" s="1" t="s">
        <v>36</v>
      </c>
      <c r="B163" s="1" t="s">
        <v>37</v>
      </c>
      <c r="C163" s="2" t="s">
        <v>27</v>
      </c>
      <c r="D163" s="4">
        <v>0.145154166666667</v>
      </c>
      <c r="E163" s="1">
        <v>5.0000000000000001E-3</v>
      </c>
      <c r="F163" s="4">
        <f t="shared" si="4"/>
        <v>0.140154166666667</v>
      </c>
      <c r="G163" s="1">
        <f t="shared" si="5"/>
        <v>6.0425763750000137</v>
      </c>
    </row>
    <row r="164" spans="1:7">
      <c r="A164" s="1" t="s">
        <v>36</v>
      </c>
      <c r="B164" s="1" t="s">
        <v>38</v>
      </c>
      <c r="C164" s="2" t="s">
        <v>4</v>
      </c>
      <c r="D164" s="4">
        <v>0.15985416666666699</v>
      </c>
      <c r="E164" s="1">
        <v>5.0000000000000001E-3</v>
      </c>
      <c r="F164" s="4">
        <f t="shared" si="4"/>
        <v>0.15485416666666699</v>
      </c>
      <c r="G164" s="1">
        <f t="shared" si="5"/>
        <v>6.6736473750000131</v>
      </c>
    </row>
    <row r="165" spans="1:7">
      <c r="A165" s="1" t="s">
        <v>36</v>
      </c>
      <c r="B165" s="1" t="s">
        <v>38</v>
      </c>
      <c r="C165" s="2" t="s">
        <v>6</v>
      </c>
      <c r="D165" s="4">
        <v>0.185454166666667</v>
      </c>
      <c r="E165" s="1">
        <v>5.0000000000000001E-3</v>
      </c>
      <c r="F165" s="4">
        <f t="shared" si="4"/>
        <v>0.180454166666667</v>
      </c>
      <c r="G165" s="1">
        <f t="shared" si="5"/>
        <v>7.7726553750000145</v>
      </c>
    </row>
    <row r="166" spans="1:7">
      <c r="A166" s="1" t="s">
        <v>36</v>
      </c>
      <c r="B166" s="1" t="s">
        <v>38</v>
      </c>
      <c r="C166" s="2" t="s">
        <v>7</v>
      </c>
      <c r="D166" s="4">
        <v>0.169854166666667</v>
      </c>
      <c r="E166" s="1">
        <v>5.0000000000000001E-3</v>
      </c>
      <c r="F166" s="4">
        <f t="shared" si="4"/>
        <v>0.164854166666667</v>
      </c>
      <c r="G166" s="1">
        <f t="shared" si="5"/>
        <v>7.1029473750000136</v>
      </c>
    </row>
    <row r="167" spans="1:7">
      <c r="A167" s="1" t="s">
        <v>36</v>
      </c>
      <c r="B167" s="1" t="s">
        <v>38</v>
      </c>
      <c r="C167" s="2" t="s">
        <v>8</v>
      </c>
      <c r="D167" s="4">
        <v>0.14805416666666699</v>
      </c>
      <c r="E167" s="1">
        <v>5.0000000000000001E-3</v>
      </c>
      <c r="F167" s="4">
        <f t="shared" si="4"/>
        <v>0.14305416666666698</v>
      </c>
      <c r="G167" s="1">
        <f t="shared" si="5"/>
        <v>6.1670733750000135</v>
      </c>
    </row>
    <row r="168" spans="1:7">
      <c r="A168" s="1" t="s">
        <v>36</v>
      </c>
      <c r="B168" s="1" t="s">
        <v>38</v>
      </c>
      <c r="C168" s="2" t="s">
        <v>10</v>
      </c>
      <c r="D168" s="4">
        <v>0.17675416666666699</v>
      </c>
      <c r="E168" s="1">
        <v>5.0000000000000001E-3</v>
      </c>
      <c r="F168" s="4">
        <f t="shared" si="4"/>
        <v>0.17175416666666699</v>
      </c>
      <c r="G168" s="1">
        <f t="shared" si="5"/>
        <v>7.3991643750000122</v>
      </c>
    </row>
    <row r="169" spans="1:7">
      <c r="A169" s="1" t="s">
        <v>36</v>
      </c>
      <c r="B169" s="1" t="s">
        <v>38</v>
      </c>
      <c r="C169" s="2" t="s">
        <v>11</v>
      </c>
      <c r="D169" s="4">
        <v>0.15985416666666699</v>
      </c>
      <c r="E169" s="1">
        <v>5.0000000000000001E-3</v>
      </c>
      <c r="F169" s="4">
        <f t="shared" si="4"/>
        <v>0.15485416666666699</v>
      </c>
      <c r="G169" s="1">
        <f t="shared" si="5"/>
        <v>6.6736473750000131</v>
      </c>
    </row>
    <row r="170" spans="1:7">
      <c r="A170" s="1" t="s">
        <v>36</v>
      </c>
      <c r="B170" s="1" t="s">
        <v>38</v>
      </c>
      <c r="C170" s="2" t="s">
        <v>12</v>
      </c>
      <c r="D170" s="4">
        <v>0.14525416666666699</v>
      </c>
      <c r="E170" s="1">
        <v>5.0000000000000001E-3</v>
      </c>
      <c r="F170" s="4">
        <f t="shared" si="4"/>
        <v>0.14025416666666699</v>
      </c>
      <c r="G170" s="1">
        <f t="shared" si="5"/>
        <v>6.0468693750000133</v>
      </c>
    </row>
    <row r="171" spans="1:7">
      <c r="A171" s="1" t="s">
        <v>36</v>
      </c>
      <c r="B171" s="1" t="s">
        <v>38</v>
      </c>
      <c r="C171" s="2" t="s">
        <v>14</v>
      </c>
      <c r="D171" s="4">
        <v>0.12885416666666699</v>
      </c>
      <c r="E171" s="1">
        <v>5.0000000000000001E-3</v>
      </c>
      <c r="F171" s="4">
        <f t="shared" si="4"/>
        <v>0.12385416666666699</v>
      </c>
      <c r="G171" s="1">
        <f t="shared" si="5"/>
        <v>5.3428173750000143</v>
      </c>
    </row>
    <row r="172" spans="1:7">
      <c r="A172" s="1" t="s">
        <v>36</v>
      </c>
      <c r="B172" s="1" t="s">
        <v>38</v>
      </c>
      <c r="C172" s="2" t="s">
        <v>15</v>
      </c>
      <c r="D172" s="4">
        <v>0.150454166666667</v>
      </c>
      <c r="E172" s="1">
        <v>5.0000000000000001E-3</v>
      </c>
      <c r="F172" s="4">
        <f t="shared" si="4"/>
        <v>0.145454166666667</v>
      </c>
      <c r="G172" s="1">
        <f t="shared" si="5"/>
        <v>6.2701053750000133</v>
      </c>
    </row>
    <row r="173" spans="1:7">
      <c r="A173" s="1" t="s">
        <v>36</v>
      </c>
      <c r="B173" s="1" t="s">
        <v>38</v>
      </c>
      <c r="C173" s="2" t="s">
        <v>16</v>
      </c>
      <c r="D173" s="4">
        <v>0.18255416666666699</v>
      </c>
      <c r="E173" s="1">
        <v>5.0000000000000001E-3</v>
      </c>
      <c r="F173" s="4">
        <f t="shared" si="4"/>
        <v>0.17755416666666698</v>
      </c>
      <c r="G173" s="1">
        <f t="shared" si="5"/>
        <v>7.6481583750000137</v>
      </c>
    </row>
    <row r="174" spans="1:7">
      <c r="A174" s="1" t="s">
        <v>36</v>
      </c>
      <c r="B174" s="1" t="s">
        <v>38</v>
      </c>
      <c r="C174" s="2" t="s">
        <v>18</v>
      </c>
      <c r="D174" s="4">
        <v>0.16915416666666699</v>
      </c>
      <c r="E174" s="1">
        <v>5.0000000000000001E-3</v>
      </c>
      <c r="F174" s="4">
        <f t="shared" si="4"/>
        <v>0.16415416666666699</v>
      </c>
      <c r="G174" s="1">
        <f t="shared" si="5"/>
        <v>7.0728963750000133</v>
      </c>
    </row>
    <row r="175" spans="1:7">
      <c r="A175" s="1" t="s">
        <v>36</v>
      </c>
      <c r="B175" s="1" t="s">
        <v>38</v>
      </c>
      <c r="C175" s="2" t="s">
        <v>19</v>
      </c>
      <c r="D175" s="4">
        <v>0.18105416666666699</v>
      </c>
      <c r="E175" s="1">
        <v>5.0000000000000001E-3</v>
      </c>
      <c r="F175" s="4">
        <f t="shared" si="4"/>
        <v>0.17605416666666698</v>
      </c>
      <c r="G175" s="1">
        <f t="shared" si="5"/>
        <v>7.5837633750000135</v>
      </c>
    </row>
    <row r="176" spans="1:7">
      <c r="A176" s="1" t="s">
        <v>36</v>
      </c>
      <c r="B176" s="1" t="s">
        <v>38</v>
      </c>
      <c r="C176" s="2" t="s">
        <v>20</v>
      </c>
      <c r="D176" s="4">
        <v>0.14425416666666699</v>
      </c>
      <c r="E176" s="1">
        <v>5.0000000000000001E-3</v>
      </c>
      <c r="F176" s="4">
        <f t="shared" si="4"/>
        <v>0.13925416666666698</v>
      </c>
      <c r="G176" s="1">
        <f t="shared" si="5"/>
        <v>6.0039393750000132</v>
      </c>
    </row>
    <row r="177" spans="1:7">
      <c r="A177" s="1" t="s">
        <v>36</v>
      </c>
      <c r="B177" s="1" t="s">
        <v>38</v>
      </c>
      <c r="C177" s="2" t="s">
        <v>22</v>
      </c>
      <c r="D177" s="4">
        <v>0.154954166666667</v>
      </c>
      <c r="E177" s="1">
        <v>5.0000000000000001E-3</v>
      </c>
      <c r="F177" s="4">
        <f t="shared" si="4"/>
        <v>0.149954166666667</v>
      </c>
      <c r="G177" s="1">
        <f t="shared" si="5"/>
        <v>6.4632903750000139</v>
      </c>
    </row>
    <row r="178" spans="1:7">
      <c r="A178" s="1" t="s">
        <v>36</v>
      </c>
      <c r="B178" s="1" t="s">
        <v>38</v>
      </c>
      <c r="C178" s="2" t="s">
        <v>23</v>
      </c>
      <c r="D178" s="4">
        <v>0.12995416666666701</v>
      </c>
      <c r="E178" s="1">
        <v>5.0000000000000001E-3</v>
      </c>
      <c r="F178" s="4">
        <f t="shared" si="4"/>
        <v>0.124954166666667</v>
      </c>
      <c r="G178" s="1">
        <f t="shared" si="5"/>
        <v>5.3900403750000141</v>
      </c>
    </row>
    <row r="179" spans="1:7">
      <c r="A179" s="1" t="s">
        <v>36</v>
      </c>
      <c r="B179" s="1" t="s">
        <v>38</v>
      </c>
      <c r="C179" s="2" t="s">
        <v>24</v>
      </c>
      <c r="D179" s="4">
        <v>0.16275416666666701</v>
      </c>
      <c r="E179" s="1">
        <v>5.0000000000000001E-3</v>
      </c>
      <c r="F179" s="4">
        <f t="shared" si="4"/>
        <v>0.157754166666667</v>
      </c>
      <c r="G179" s="1">
        <f t="shared" si="5"/>
        <v>6.7981443750000148</v>
      </c>
    </row>
    <row r="180" spans="1:7">
      <c r="A180" s="1" t="s">
        <v>36</v>
      </c>
      <c r="B180" s="1" t="s">
        <v>38</v>
      </c>
      <c r="C180" s="2" t="s">
        <v>26</v>
      </c>
      <c r="D180" s="4">
        <v>0.14555416666666701</v>
      </c>
      <c r="E180" s="1">
        <v>5.0000000000000001E-3</v>
      </c>
      <c r="F180" s="4">
        <f t="shared" si="4"/>
        <v>0.14055416666666701</v>
      </c>
      <c r="G180" s="1">
        <f t="shared" si="5"/>
        <v>6.0597483750000141</v>
      </c>
    </row>
    <row r="181" spans="1:7">
      <c r="A181" s="1" t="s">
        <v>36</v>
      </c>
      <c r="B181" s="1" t="s">
        <v>38</v>
      </c>
      <c r="C181" s="2" t="s">
        <v>27</v>
      </c>
      <c r="D181" s="4">
        <v>0.18995416666666701</v>
      </c>
      <c r="E181" s="1">
        <v>5.0000000000000001E-3</v>
      </c>
      <c r="F181" s="4">
        <f t="shared" si="4"/>
        <v>0.184954166666667</v>
      </c>
      <c r="G181" s="1">
        <f t="shared" si="5"/>
        <v>7.9658403750000133</v>
      </c>
    </row>
    <row r="182" spans="1:7">
      <c r="A182" s="1" t="s">
        <v>36</v>
      </c>
      <c r="B182" s="1" t="s">
        <v>39</v>
      </c>
      <c r="C182" s="2" t="s">
        <v>4</v>
      </c>
      <c r="D182" s="4">
        <v>0.11788750000000001</v>
      </c>
      <c r="E182" s="1">
        <v>5.0000000000000001E-3</v>
      </c>
      <c r="F182" s="4">
        <f t="shared" si="4"/>
        <v>0.1128875</v>
      </c>
      <c r="G182" s="1">
        <f t="shared" si="5"/>
        <v>4.8720183749999997</v>
      </c>
    </row>
    <row r="183" spans="1:7">
      <c r="A183" s="1" t="s">
        <v>36</v>
      </c>
      <c r="B183" s="1" t="s">
        <v>39</v>
      </c>
      <c r="C183" s="2" t="s">
        <v>6</v>
      </c>
      <c r="D183" s="4">
        <v>0.1027875</v>
      </c>
      <c r="E183" s="1">
        <v>5.0000000000000001E-3</v>
      </c>
      <c r="F183" s="4">
        <f t="shared" si="4"/>
        <v>9.7787499999999999E-2</v>
      </c>
      <c r="G183" s="1">
        <f t="shared" si="5"/>
        <v>4.2237753749999998</v>
      </c>
    </row>
    <row r="184" spans="1:7">
      <c r="A184" s="1" t="s">
        <v>36</v>
      </c>
      <c r="B184" s="1" t="s">
        <v>39</v>
      </c>
      <c r="C184" s="2" t="s">
        <v>7</v>
      </c>
      <c r="D184" s="4">
        <v>0.1132875</v>
      </c>
      <c r="E184" s="1">
        <v>5.0000000000000001E-3</v>
      </c>
      <c r="F184" s="4">
        <f t="shared" si="4"/>
        <v>0.10828749999999999</v>
      </c>
      <c r="G184" s="1">
        <f t="shared" si="5"/>
        <v>4.6745403750000003</v>
      </c>
    </row>
    <row r="185" spans="1:7">
      <c r="A185" s="1" t="s">
        <v>36</v>
      </c>
      <c r="B185" s="1" t="s">
        <v>39</v>
      </c>
      <c r="C185" s="2" t="s">
        <v>8</v>
      </c>
      <c r="D185" s="4">
        <v>0.15428749999999999</v>
      </c>
      <c r="E185" s="1">
        <v>5.0000000000000001E-3</v>
      </c>
      <c r="F185" s="4">
        <f t="shared" si="4"/>
        <v>0.14928749999999999</v>
      </c>
      <c r="G185" s="1">
        <f t="shared" si="5"/>
        <v>6.4346703749999996</v>
      </c>
    </row>
    <row r="186" spans="1:7">
      <c r="A186" s="1" t="s">
        <v>36</v>
      </c>
      <c r="B186" s="1" t="s">
        <v>39</v>
      </c>
      <c r="C186" s="2" t="s">
        <v>10</v>
      </c>
      <c r="D186" s="4">
        <v>0.12998750000000001</v>
      </c>
      <c r="E186" s="1">
        <v>5.0000000000000001E-3</v>
      </c>
      <c r="F186" s="4">
        <f t="shared" si="4"/>
        <v>0.1249875</v>
      </c>
      <c r="G186" s="1">
        <f t="shared" si="5"/>
        <v>5.3914713749999992</v>
      </c>
    </row>
    <row r="187" spans="1:7">
      <c r="A187" s="1" t="s">
        <v>36</v>
      </c>
      <c r="B187" s="1" t="s">
        <v>39</v>
      </c>
      <c r="C187" s="2" t="s">
        <v>11</v>
      </c>
      <c r="D187" s="4">
        <v>0.11978750000000001</v>
      </c>
      <c r="E187" s="1">
        <v>5.0000000000000001E-3</v>
      </c>
      <c r="F187" s="4">
        <f t="shared" si="4"/>
        <v>0.1147875</v>
      </c>
      <c r="G187" s="1">
        <f t="shared" si="5"/>
        <v>4.9535853749999994</v>
      </c>
    </row>
    <row r="188" spans="1:7">
      <c r="A188" s="1" t="s">
        <v>36</v>
      </c>
      <c r="B188" s="1" t="s">
        <v>39</v>
      </c>
      <c r="C188" s="2" t="s">
        <v>12</v>
      </c>
      <c r="D188" s="4">
        <v>0.12178750000000001</v>
      </c>
      <c r="E188" s="1">
        <v>5.0000000000000001E-3</v>
      </c>
      <c r="F188" s="4">
        <f t="shared" si="4"/>
        <v>0.1167875</v>
      </c>
      <c r="G188" s="1">
        <f t="shared" si="5"/>
        <v>5.0394453749999997</v>
      </c>
    </row>
    <row r="189" spans="1:7">
      <c r="A189" s="1" t="s">
        <v>36</v>
      </c>
      <c r="B189" s="1" t="s">
        <v>39</v>
      </c>
      <c r="C189" s="2" t="s">
        <v>14</v>
      </c>
      <c r="D189" s="4">
        <v>0.15908749999999999</v>
      </c>
      <c r="E189" s="1">
        <v>5.0000000000000001E-3</v>
      </c>
      <c r="F189" s="4">
        <f t="shared" si="4"/>
        <v>0.15408749999999999</v>
      </c>
      <c r="G189" s="1">
        <f t="shared" si="5"/>
        <v>6.6407343749999983</v>
      </c>
    </row>
    <row r="190" spans="1:7">
      <c r="A190" s="1" t="s">
        <v>36</v>
      </c>
      <c r="B190" s="1" t="s">
        <v>39</v>
      </c>
      <c r="C190" s="2" t="s">
        <v>15</v>
      </c>
      <c r="D190" s="4">
        <v>0.1269875</v>
      </c>
      <c r="E190" s="1">
        <v>5.0000000000000001E-3</v>
      </c>
      <c r="F190" s="4">
        <f t="shared" si="4"/>
        <v>0.1219875</v>
      </c>
      <c r="G190" s="1">
        <f t="shared" si="5"/>
        <v>5.2626813749999997</v>
      </c>
    </row>
    <row r="191" spans="1:7">
      <c r="A191" s="1" t="s">
        <v>36</v>
      </c>
      <c r="B191" s="1" t="s">
        <v>39</v>
      </c>
      <c r="C191" s="2" t="s">
        <v>16</v>
      </c>
      <c r="D191" s="4">
        <v>0.1272875</v>
      </c>
      <c r="E191" s="1">
        <v>5.0000000000000001E-3</v>
      </c>
      <c r="F191" s="4">
        <f t="shared" si="4"/>
        <v>0.12228749999999999</v>
      </c>
      <c r="G191" s="1">
        <f t="shared" si="5"/>
        <v>5.2755603750000004</v>
      </c>
    </row>
    <row r="192" spans="1:7">
      <c r="A192" s="1" t="s">
        <v>36</v>
      </c>
      <c r="B192" s="1" t="s">
        <v>39</v>
      </c>
      <c r="C192" s="2" t="s">
        <v>18</v>
      </c>
      <c r="D192" s="4">
        <v>0.1167875</v>
      </c>
      <c r="E192" s="1">
        <v>5.0000000000000001E-3</v>
      </c>
      <c r="F192" s="4">
        <f t="shared" si="4"/>
        <v>0.1117875</v>
      </c>
      <c r="G192" s="1">
        <f t="shared" si="5"/>
        <v>4.8247953749999999</v>
      </c>
    </row>
    <row r="193" spans="1:7">
      <c r="A193" s="1" t="s">
        <v>36</v>
      </c>
      <c r="B193" s="1" t="s">
        <v>39</v>
      </c>
      <c r="C193" s="2" t="s">
        <v>19</v>
      </c>
      <c r="D193" s="4">
        <v>0.1718875</v>
      </c>
      <c r="E193" s="1">
        <v>5.0000000000000001E-3</v>
      </c>
      <c r="F193" s="4">
        <f t="shared" si="4"/>
        <v>0.16688749999999999</v>
      </c>
      <c r="G193" s="1">
        <f t="shared" si="5"/>
        <v>7.190238374999999</v>
      </c>
    </row>
    <row r="194" spans="1:7">
      <c r="A194" s="1" t="s">
        <v>36</v>
      </c>
      <c r="B194" s="1" t="s">
        <v>39</v>
      </c>
      <c r="C194" s="2" t="s">
        <v>20</v>
      </c>
      <c r="D194" s="4">
        <v>0.13388749999999999</v>
      </c>
      <c r="E194" s="1">
        <v>5.0000000000000001E-3</v>
      </c>
      <c r="F194" s="4">
        <f t="shared" si="4"/>
        <v>0.12888749999999999</v>
      </c>
      <c r="G194" s="1">
        <f t="shared" si="5"/>
        <v>5.5588983749999983</v>
      </c>
    </row>
    <row r="195" spans="1:7">
      <c r="A195" s="1" t="s">
        <v>36</v>
      </c>
      <c r="B195" s="1" t="s">
        <v>39</v>
      </c>
      <c r="C195" s="2" t="s">
        <v>22</v>
      </c>
      <c r="D195" s="4">
        <v>0.15588750000000001</v>
      </c>
      <c r="E195" s="1">
        <v>5.0000000000000001E-3</v>
      </c>
      <c r="F195" s="4">
        <f t="shared" ref="F195:F258" si="6">D195-E195</f>
        <v>0.15088750000000001</v>
      </c>
      <c r="G195" s="1">
        <f t="shared" ref="G195:G258" si="7">0.2862*(F195+0.0006)*1.5/0.01</f>
        <v>6.5033583749999995</v>
      </c>
    </row>
    <row r="196" spans="1:7">
      <c r="A196" s="1" t="s">
        <v>36</v>
      </c>
      <c r="B196" s="1" t="s">
        <v>39</v>
      </c>
      <c r="C196" s="2" t="s">
        <v>23</v>
      </c>
      <c r="D196" s="4">
        <v>0.1172875</v>
      </c>
      <c r="E196" s="1">
        <v>5.0000000000000001E-3</v>
      </c>
      <c r="F196" s="4">
        <f t="shared" si="6"/>
        <v>0.1122875</v>
      </c>
      <c r="G196" s="1">
        <f t="shared" si="7"/>
        <v>4.846260375</v>
      </c>
    </row>
    <row r="197" spans="1:7">
      <c r="A197" s="1" t="s">
        <v>36</v>
      </c>
      <c r="B197" s="1" t="s">
        <v>39</v>
      </c>
      <c r="C197" s="2" t="s">
        <v>24</v>
      </c>
      <c r="D197" s="4">
        <v>0.1327875</v>
      </c>
      <c r="E197" s="1">
        <v>5.0000000000000001E-3</v>
      </c>
      <c r="F197" s="4">
        <f t="shared" si="6"/>
        <v>0.1277875</v>
      </c>
      <c r="G197" s="1">
        <f t="shared" si="7"/>
        <v>5.5116753749999994</v>
      </c>
    </row>
    <row r="198" spans="1:7">
      <c r="A198" s="1" t="s">
        <v>36</v>
      </c>
      <c r="B198" s="1" t="s">
        <v>39</v>
      </c>
      <c r="C198" s="2" t="s">
        <v>26</v>
      </c>
      <c r="D198" s="4">
        <v>0.14838750000000001</v>
      </c>
      <c r="E198" s="1">
        <v>5.0000000000000001E-3</v>
      </c>
      <c r="F198" s="4">
        <f t="shared" si="6"/>
        <v>0.1433875</v>
      </c>
      <c r="G198" s="1">
        <f t="shared" si="7"/>
        <v>6.1813833749999993</v>
      </c>
    </row>
    <row r="199" spans="1:7">
      <c r="A199" s="1" t="s">
        <v>36</v>
      </c>
      <c r="B199" s="1" t="s">
        <v>39</v>
      </c>
      <c r="C199" s="2" t="s">
        <v>27</v>
      </c>
      <c r="D199" s="4">
        <v>0.12948750000000001</v>
      </c>
      <c r="E199" s="1">
        <v>5.0000000000000001E-3</v>
      </c>
      <c r="F199" s="4">
        <f t="shared" si="6"/>
        <v>0.1244875</v>
      </c>
      <c r="G199" s="1">
        <f t="shared" si="7"/>
        <v>5.370006375</v>
      </c>
    </row>
    <row r="200" spans="1:7">
      <c r="A200" s="1" t="s">
        <v>36</v>
      </c>
      <c r="B200" s="1" t="s">
        <v>40</v>
      </c>
      <c r="C200" s="2" t="s">
        <v>4</v>
      </c>
      <c r="D200" s="4">
        <v>0.1069875</v>
      </c>
      <c r="E200" s="1">
        <v>5.0000000000000001E-3</v>
      </c>
      <c r="F200" s="4">
        <f t="shared" si="6"/>
        <v>0.10198749999999999</v>
      </c>
      <c r="G200" s="1">
        <f t="shared" si="7"/>
        <v>4.4040813749999996</v>
      </c>
    </row>
    <row r="201" spans="1:7">
      <c r="A201" s="1" t="s">
        <v>36</v>
      </c>
      <c r="B201" s="1" t="s">
        <v>40</v>
      </c>
      <c r="C201" s="2" t="s">
        <v>6</v>
      </c>
      <c r="D201" s="4">
        <v>0.1045875</v>
      </c>
      <c r="E201" s="1">
        <v>5.0000000000000001E-3</v>
      </c>
      <c r="F201" s="4">
        <f t="shared" si="6"/>
        <v>9.9587499999999995E-2</v>
      </c>
      <c r="G201" s="1">
        <f t="shared" si="7"/>
        <v>4.3010493749999998</v>
      </c>
    </row>
    <row r="202" spans="1:7">
      <c r="A202" s="1" t="s">
        <v>36</v>
      </c>
      <c r="B202" s="1" t="s">
        <v>40</v>
      </c>
      <c r="C202" s="2" t="s">
        <v>7</v>
      </c>
      <c r="D202" s="4">
        <v>9.7787499999999999E-2</v>
      </c>
      <c r="E202" s="1">
        <v>5.0000000000000001E-3</v>
      </c>
      <c r="F202" s="4">
        <f t="shared" si="6"/>
        <v>9.2787499999999995E-2</v>
      </c>
      <c r="G202" s="1">
        <f t="shared" si="7"/>
        <v>4.009125375</v>
      </c>
    </row>
    <row r="203" spans="1:7">
      <c r="A203" s="1" t="s">
        <v>36</v>
      </c>
      <c r="B203" s="1" t="s">
        <v>40</v>
      </c>
      <c r="C203" s="2" t="s">
        <v>8</v>
      </c>
      <c r="D203" s="4">
        <v>0.12278749999999999</v>
      </c>
      <c r="E203" s="1">
        <v>5.0000000000000001E-3</v>
      </c>
      <c r="F203" s="4">
        <f t="shared" si="6"/>
        <v>0.11778749999999999</v>
      </c>
      <c r="G203" s="1">
        <f t="shared" si="7"/>
        <v>5.0823753750000007</v>
      </c>
    </row>
    <row r="204" spans="1:7">
      <c r="A204" s="1" t="s">
        <v>36</v>
      </c>
      <c r="B204" s="1" t="s">
        <v>40</v>
      </c>
      <c r="C204" s="2" t="s">
        <v>10</v>
      </c>
      <c r="D204" s="4">
        <v>0.1080875</v>
      </c>
      <c r="E204" s="1">
        <v>5.0000000000000001E-3</v>
      </c>
      <c r="F204" s="4">
        <f t="shared" si="6"/>
        <v>0.1030875</v>
      </c>
      <c r="G204" s="1">
        <f t="shared" si="7"/>
        <v>4.4513043750000003</v>
      </c>
    </row>
    <row r="205" spans="1:7">
      <c r="A205" s="1" t="s">
        <v>36</v>
      </c>
      <c r="B205" s="1" t="s">
        <v>40</v>
      </c>
      <c r="C205" s="2" t="s">
        <v>11</v>
      </c>
      <c r="D205" s="4">
        <v>0.10728749999999999</v>
      </c>
      <c r="E205" s="1">
        <v>5.0000000000000001E-3</v>
      </c>
      <c r="F205" s="4">
        <f t="shared" si="6"/>
        <v>0.10228749999999999</v>
      </c>
      <c r="G205" s="1">
        <f t="shared" si="7"/>
        <v>4.4169603750000004</v>
      </c>
    </row>
    <row r="206" spans="1:7">
      <c r="A206" s="1" t="s">
        <v>36</v>
      </c>
      <c r="B206" s="1" t="s">
        <v>40</v>
      </c>
      <c r="C206" s="2" t="s">
        <v>12</v>
      </c>
      <c r="D206" s="4">
        <v>0.1132875</v>
      </c>
      <c r="E206" s="1">
        <v>5.0000000000000001E-3</v>
      </c>
      <c r="F206" s="4">
        <f t="shared" si="6"/>
        <v>0.10828749999999999</v>
      </c>
      <c r="G206" s="1">
        <f t="shared" si="7"/>
        <v>4.6745403750000003</v>
      </c>
    </row>
    <row r="207" spans="1:7">
      <c r="A207" s="1" t="s">
        <v>36</v>
      </c>
      <c r="B207" s="1" t="s">
        <v>40</v>
      </c>
      <c r="C207" s="2" t="s">
        <v>14</v>
      </c>
      <c r="D207" s="4">
        <v>8.8887499999999994E-2</v>
      </c>
      <c r="E207" s="1">
        <v>5.0000000000000001E-3</v>
      </c>
      <c r="F207" s="4">
        <f t="shared" si="6"/>
        <v>8.388749999999999E-2</v>
      </c>
      <c r="G207" s="1">
        <f t="shared" si="7"/>
        <v>3.6270483749999998</v>
      </c>
    </row>
    <row r="208" spans="1:7">
      <c r="A208" s="1" t="s">
        <v>36</v>
      </c>
      <c r="B208" s="1" t="s">
        <v>40</v>
      </c>
      <c r="C208" s="2" t="s">
        <v>15</v>
      </c>
      <c r="D208" s="4">
        <v>6.5287499999999998E-2</v>
      </c>
      <c r="E208" s="1">
        <v>5.0000000000000001E-3</v>
      </c>
      <c r="F208" s="4">
        <f t="shared" si="6"/>
        <v>6.0287500000000001E-2</v>
      </c>
      <c r="G208" s="1">
        <f t="shared" si="7"/>
        <v>2.6139003750000005</v>
      </c>
    </row>
    <row r="209" spans="1:7">
      <c r="A209" s="1" t="s">
        <v>36</v>
      </c>
      <c r="B209" s="1" t="s">
        <v>40</v>
      </c>
      <c r="C209" s="2" t="s">
        <v>16</v>
      </c>
      <c r="D209" s="4">
        <v>0.1138875</v>
      </c>
      <c r="E209" s="1">
        <v>5.0000000000000001E-3</v>
      </c>
      <c r="F209" s="4">
        <f t="shared" si="6"/>
        <v>0.1088875</v>
      </c>
      <c r="G209" s="1">
        <f t="shared" si="7"/>
        <v>4.700298375</v>
      </c>
    </row>
    <row r="210" spans="1:7">
      <c r="A210" s="1" t="s">
        <v>36</v>
      </c>
      <c r="B210" s="1" t="s">
        <v>40</v>
      </c>
      <c r="C210" s="2" t="s">
        <v>18</v>
      </c>
      <c r="D210" s="4">
        <v>0.1029875</v>
      </c>
      <c r="E210" s="1">
        <v>5.0000000000000001E-3</v>
      </c>
      <c r="F210" s="4">
        <f t="shared" si="6"/>
        <v>9.7987499999999991E-2</v>
      </c>
      <c r="G210" s="1">
        <f t="shared" si="7"/>
        <v>4.2323613749999991</v>
      </c>
    </row>
    <row r="211" spans="1:7">
      <c r="A211" s="1" t="s">
        <v>36</v>
      </c>
      <c r="B211" s="1" t="s">
        <v>40</v>
      </c>
      <c r="C211" s="2" t="s">
        <v>19</v>
      </c>
      <c r="D211" s="4">
        <v>0.1030875</v>
      </c>
      <c r="E211" s="1">
        <v>5.0000000000000001E-3</v>
      </c>
      <c r="F211" s="4">
        <f t="shared" si="6"/>
        <v>9.8087499999999994E-2</v>
      </c>
      <c r="G211" s="1">
        <f t="shared" si="7"/>
        <v>4.2366543749999996</v>
      </c>
    </row>
    <row r="212" spans="1:7">
      <c r="A212" s="1" t="s">
        <v>36</v>
      </c>
      <c r="B212" s="1" t="s">
        <v>40</v>
      </c>
      <c r="C212" s="2" t="s">
        <v>20</v>
      </c>
      <c r="D212" s="4">
        <v>0.1157875</v>
      </c>
      <c r="E212" s="1">
        <v>5.0000000000000001E-3</v>
      </c>
      <c r="F212" s="4">
        <f t="shared" si="6"/>
        <v>0.1107875</v>
      </c>
      <c r="G212" s="1">
        <f t="shared" si="7"/>
        <v>4.7818653749999998</v>
      </c>
    </row>
    <row r="213" spans="1:7">
      <c r="A213" s="1" t="s">
        <v>36</v>
      </c>
      <c r="B213" s="1" t="s">
        <v>40</v>
      </c>
      <c r="C213" s="2" t="s">
        <v>22</v>
      </c>
      <c r="D213" s="4">
        <v>0.1041875</v>
      </c>
      <c r="E213" s="1">
        <v>5.0000000000000001E-3</v>
      </c>
      <c r="F213" s="4">
        <f t="shared" si="6"/>
        <v>9.9187499999999998E-2</v>
      </c>
      <c r="G213" s="1">
        <f t="shared" si="7"/>
        <v>4.2838773750000003</v>
      </c>
    </row>
    <row r="214" spans="1:7">
      <c r="A214" s="1" t="s">
        <v>36</v>
      </c>
      <c r="B214" s="1" t="s">
        <v>40</v>
      </c>
      <c r="C214" s="2" t="s">
        <v>23</v>
      </c>
      <c r="D214" s="4">
        <v>0.1104875</v>
      </c>
      <c r="E214" s="1">
        <v>5.0000000000000001E-3</v>
      </c>
      <c r="F214" s="4">
        <f t="shared" si="6"/>
        <v>0.1054875</v>
      </c>
      <c r="G214" s="1">
        <f t="shared" si="7"/>
        <v>4.5543363750000001</v>
      </c>
    </row>
    <row r="215" spans="1:7">
      <c r="A215" s="1" t="s">
        <v>36</v>
      </c>
      <c r="B215" s="1" t="s">
        <v>40</v>
      </c>
      <c r="C215" s="2" t="s">
        <v>24</v>
      </c>
      <c r="D215" s="4">
        <v>0.1103875</v>
      </c>
      <c r="E215" s="1">
        <v>5.0000000000000001E-3</v>
      </c>
      <c r="F215" s="4">
        <f t="shared" si="6"/>
        <v>0.1053875</v>
      </c>
      <c r="G215" s="1">
        <f t="shared" si="7"/>
        <v>4.5500433749999996</v>
      </c>
    </row>
    <row r="216" spans="1:7">
      <c r="A216" s="1" t="s">
        <v>36</v>
      </c>
      <c r="B216" s="1" t="s">
        <v>40</v>
      </c>
      <c r="C216" s="2" t="s">
        <v>26</v>
      </c>
      <c r="D216" s="4">
        <v>0.1185875</v>
      </c>
      <c r="E216" s="1">
        <v>5.0000000000000001E-3</v>
      </c>
      <c r="F216" s="4">
        <f t="shared" si="6"/>
        <v>0.11358749999999999</v>
      </c>
      <c r="G216" s="1">
        <f t="shared" si="7"/>
        <v>4.902069375</v>
      </c>
    </row>
    <row r="217" spans="1:7">
      <c r="A217" s="1" t="s">
        <v>36</v>
      </c>
      <c r="B217" s="1" t="s">
        <v>40</v>
      </c>
      <c r="C217" s="2" t="s">
        <v>27</v>
      </c>
      <c r="D217" s="4">
        <v>0.1089875</v>
      </c>
      <c r="E217" s="1">
        <v>5.0000000000000001E-3</v>
      </c>
      <c r="F217" s="4">
        <f t="shared" si="6"/>
        <v>0.1039875</v>
      </c>
      <c r="G217" s="1">
        <f t="shared" si="7"/>
        <v>4.4899413749999999</v>
      </c>
    </row>
    <row r="218" spans="1:7">
      <c r="A218" s="1" t="s">
        <v>36</v>
      </c>
      <c r="B218" s="1" t="s">
        <v>41</v>
      </c>
      <c r="C218" s="2" t="s">
        <v>4</v>
      </c>
      <c r="D218" s="4">
        <v>0.13090416666666699</v>
      </c>
      <c r="E218" s="1">
        <v>5.0000000000000001E-3</v>
      </c>
      <c r="F218" s="4">
        <f t="shared" si="6"/>
        <v>0.12590416666666698</v>
      </c>
      <c r="G218" s="1">
        <f t="shared" si="7"/>
        <v>5.4308238750000131</v>
      </c>
    </row>
    <row r="219" spans="1:7">
      <c r="A219" s="1" t="s">
        <v>36</v>
      </c>
      <c r="B219" s="1" t="s">
        <v>41</v>
      </c>
      <c r="C219" s="2" t="s">
        <v>6</v>
      </c>
      <c r="D219" s="4">
        <v>0.12530416666666699</v>
      </c>
      <c r="E219" s="1">
        <v>5.0000000000000001E-3</v>
      </c>
      <c r="F219" s="4">
        <f t="shared" si="6"/>
        <v>0.12030416666666699</v>
      </c>
      <c r="G219" s="1">
        <f t="shared" si="7"/>
        <v>5.1904158750000136</v>
      </c>
    </row>
    <row r="220" spans="1:7">
      <c r="A220" s="1" t="s">
        <v>36</v>
      </c>
      <c r="B220" s="1" t="s">
        <v>41</v>
      </c>
      <c r="C220" s="2" t="s">
        <v>7</v>
      </c>
      <c r="D220" s="4">
        <v>0.107604166666667</v>
      </c>
      <c r="E220" s="1">
        <v>5.0000000000000001E-3</v>
      </c>
      <c r="F220" s="4">
        <f t="shared" si="6"/>
        <v>0.102604166666667</v>
      </c>
      <c r="G220" s="1">
        <f t="shared" si="7"/>
        <v>4.4305548750000145</v>
      </c>
    </row>
    <row r="221" spans="1:7">
      <c r="A221" s="1" t="s">
        <v>36</v>
      </c>
      <c r="B221" s="1" t="s">
        <v>41</v>
      </c>
      <c r="C221" s="2" t="s">
        <v>8</v>
      </c>
      <c r="D221" s="4">
        <v>0.14630416666666701</v>
      </c>
      <c r="E221" s="1">
        <v>5.0000000000000001E-3</v>
      </c>
      <c r="F221" s="4">
        <f t="shared" si="6"/>
        <v>0.14130416666666701</v>
      </c>
      <c r="G221" s="1">
        <f t="shared" si="7"/>
        <v>6.0919458750000137</v>
      </c>
    </row>
    <row r="222" spans="1:7">
      <c r="A222" s="1" t="s">
        <v>36</v>
      </c>
      <c r="B222" s="1" t="s">
        <v>41</v>
      </c>
      <c r="C222" s="2" t="s">
        <v>10</v>
      </c>
      <c r="D222" s="4">
        <v>0.11370416666666699</v>
      </c>
      <c r="E222" s="1">
        <v>5.0000000000000001E-3</v>
      </c>
      <c r="F222" s="4">
        <f t="shared" si="6"/>
        <v>0.10870416666666699</v>
      </c>
      <c r="G222" s="1">
        <f t="shared" si="7"/>
        <v>4.6924278750000141</v>
      </c>
    </row>
    <row r="223" spans="1:7">
      <c r="A223" s="1" t="s">
        <v>36</v>
      </c>
      <c r="B223" s="1" t="s">
        <v>41</v>
      </c>
      <c r="C223" s="2" t="s">
        <v>11</v>
      </c>
      <c r="D223" s="4">
        <v>0.118604166666667</v>
      </c>
      <c r="E223" s="1">
        <v>5.0000000000000001E-3</v>
      </c>
      <c r="F223" s="4">
        <f t="shared" si="6"/>
        <v>0.11360416666666699</v>
      </c>
      <c r="G223" s="1">
        <f t="shared" si="7"/>
        <v>4.9027848750000143</v>
      </c>
    </row>
    <row r="224" spans="1:7">
      <c r="A224" s="1" t="s">
        <v>36</v>
      </c>
      <c r="B224" s="1" t="s">
        <v>41</v>
      </c>
      <c r="C224" s="2" t="s">
        <v>12</v>
      </c>
      <c r="D224" s="4">
        <v>0.13020416666666701</v>
      </c>
      <c r="E224" s="1">
        <v>5.0000000000000001E-3</v>
      </c>
      <c r="F224" s="4">
        <f t="shared" si="6"/>
        <v>0.12520416666666701</v>
      </c>
      <c r="G224" s="1">
        <f t="shared" si="7"/>
        <v>5.4007728750000146</v>
      </c>
    </row>
    <row r="225" spans="1:7">
      <c r="A225" s="1" t="s">
        <v>36</v>
      </c>
      <c r="B225" s="1" t="s">
        <v>41</v>
      </c>
      <c r="C225" s="2" t="s">
        <v>14</v>
      </c>
      <c r="D225" s="4">
        <v>0.117604166666667</v>
      </c>
      <c r="E225" s="1">
        <v>5.0000000000000001E-3</v>
      </c>
      <c r="F225" s="4">
        <f t="shared" si="6"/>
        <v>0.11260416666666699</v>
      </c>
      <c r="G225" s="1">
        <f t="shared" si="7"/>
        <v>4.859854875000015</v>
      </c>
    </row>
    <row r="226" spans="1:7">
      <c r="A226" s="1" t="s">
        <v>36</v>
      </c>
      <c r="B226" s="1" t="s">
        <v>41</v>
      </c>
      <c r="C226" s="2" t="s">
        <v>15</v>
      </c>
      <c r="D226" s="4">
        <v>0.10970416666666701</v>
      </c>
      <c r="E226" s="1">
        <v>5.0000000000000001E-3</v>
      </c>
      <c r="F226" s="4">
        <f t="shared" si="6"/>
        <v>0.104704166666667</v>
      </c>
      <c r="G226" s="1">
        <f t="shared" si="7"/>
        <v>4.5207078750000145</v>
      </c>
    </row>
    <row r="227" spans="1:7">
      <c r="A227" s="1" t="s">
        <v>36</v>
      </c>
      <c r="B227" s="1" t="s">
        <v>41</v>
      </c>
      <c r="C227" s="2" t="s">
        <v>16</v>
      </c>
      <c r="D227" s="4">
        <v>0.122104166666667</v>
      </c>
      <c r="E227" s="1">
        <v>5.0000000000000001E-3</v>
      </c>
      <c r="F227" s="4">
        <f t="shared" si="6"/>
        <v>0.117104166666667</v>
      </c>
      <c r="G227" s="1">
        <f t="shared" si="7"/>
        <v>5.0530398750000138</v>
      </c>
    </row>
    <row r="228" spans="1:7">
      <c r="A228" s="1" t="s">
        <v>36</v>
      </c>
      <c r="B228" s="1" t="s">
        <v>41</v>
      </c>
      <c r="C228" s="2" t="s">
        <v>18</v>
      </c>
      <c r="D228" s="4">
        <v>0.13010416666666699</v>
      </c>
      <c r="E228" s="1">
        <v>5.0000000000000001E-3</v>
      </c>
      <c r="F228" s="4">
        <f t="shared" si="6"/>
        <v>0.12510416666666699</v>
      </c>
      <c r="G228" s="1">
        <f t="shared" si="7"/>
        <v>5.3964798750000131</v>
      </c>
    </row>
    <row r="229" spans="1:7">
      <c r="A229" s="1" t="s">
        <v>36</v>
      </c>
      <c r="B229" s="1" t="s">
        <v>41</v>
      </c>
      <c r="C229" s="2" t="s">
        <v>19</v>
      </c>
      <c r="D229" s="4">
        <v>0.13120416666666701</v>
      </c>
      <c r="E229" s="1">
        <v>5.0000000000000001E-3</v>
      </c>
      <c r="F229" s="4">
        <f t="shared" si="6"/>
        <v>0.12620416666666701</v>
      </c>
      <c r="G229" s="1">
        <f t="shared" si="7"/>
        <v>5.4437028750000138</v>
      </c>
    </row>
    <row r="230" spans="1:7">
      <c r="A230" s="1" t="s">
        <v>36</v>
      </c>
      <c r="B230" s="1" t="s">
        <v>41</v>
      </c>
      <c r="C230" s="2" t="s">
        <v>20</v>
      </c>
      <c r="D230" s="4">
        <v>0.124604166666667</v>
      </c>
      <c r="E230" s="1">
        <v>5.0000000000000001E-3</v>
      </c>
      <c r="F230" s="4">
        <f t="shared" si="6"/>
        <v>0.119604166666667</v>
      </c>
      <c r="G230" s="1">
        <f t="shared" si="7"/>
        <v>5.1603648750000142</v>
      </c>
    </row>
    <row r="231" spans="1:7">
      <c r="A231" s="1" t="s">
        <v>36</v>
      </c>
      <c r="B231" s="1" t="s">
        <v>41</v>
      </c>
      <c r="C231" s="2" t="s">
        <v>22</v>
      </c>
      <c r="D231" s="4">
        <v>0.116804166666667</v>
      </c>
      <c r="E231" s="1">
        <v>5.0000000000000001E-3</v>
      </c>
      <c r="F231" s="4">
        <f t="shared" si="6"/>
        <v>0.111804166666667</v>
      </c>
      <c r="G231" s="1">
        <f t="shared" si="7"/>
        <v>4.8255108750000151</v>
      </c>
    </row>
    <row r="232" spans="1:7">
      <c r="A232" s="1" t="s">
        <v>36</v>
      </c>
      <c r="B232" s="1" t="s">
        <v>41</v>
      </c>
      <c r="C232" s="2" t="s">
        <v>23</v>
      </c>
      <c r="D232" s="4">
        <v>0.14750416666666699</v>
      </c>
      <c r="E232" s="1">
        <v>5.0000000000000001E-3</v>
      </c>
      <c r="F232" s="4">
        <f t="shared" si="6"/>
        <v>0.14250416666666699</v>
      </c>
      <c r="G232" s="1">
        <f t="shared" si="7"/>
        <v>6.1434618750000123</v>
      </c>
    </row>
    <row r="233" spans="1:7">
      <c r="A233" s="1" t="s">
        <v>36</v>
      </c>
      <c r="B233" s="1" t="s">
        <v>41</v>
      </c>
      <c r="C233" s="2" t="s">
        <v>24</v>
      </c>
      <c r="D233" s="4">
        <v>0.143404166666667</v>
      </c>
      <c r="E233" s="1">
        <v>5.0000000000000001E-3</v>
      </c>
      <c r="F233" s="4">
        <f t="shared" si="6"/>
        <v>0.13840416666666699</v>
      </c>
      <c r="G233" s="1">
        <f t="shared" si="7"/>
        <v>5.9674488750000139</v>
      </c>
    </row>
    <row r="234" spans="1:7">
      <c r="A234" s="1" t="s">
        <v>36</v>
      </c>
      <c r="B234" s="1" t="s">
        <v>41</v>
      </c>
      <c r="C234" s="2" t="s">
        <v>26</v>
      </c>
      <c r="D234" s="4">
        <v>0.130804166666667</v>
      </c>
      <c r="E234" s="1">
        <v>5.0000000000000001E-3</v>
      </c>
      <c r="F234" s="4">
        <f t="shared" si="6"/>
        <v>0.12580416666666699</v>
      </c>
      <c r="G234" s="1">
        <f t="shared" si="7"/>
        <v>5.4265308750000125</v>
      </c>
    </row>
    <row r="235" spans="1:7">
      <c r="A235" s="1" t="s">
        <v>36</v>
      </c>
      <c r="B235" s="1" t="s">
        <v>41</v>
      </c>
      <c r="C235" s="2" t="s">
        <v>27</v>
      </c>
      <c r="D235" s="4">
        <v>0.13320416666666701</v>
      </c>
      <c r="E235" s="1">
        <v>5.0000000000000001E-3</v>
      </c>
      <c r="F235" s="4">
        <f t="shared" si="6"/>
        <v>0.12820416666666701</v>
      </c>
      <c r="G235" s="1">
        <f t="shared" si="7"/>
        <v>5.5295628750000141</v>
      </c>
    </row>
    <row r="236" spans="1:7">
      <c r="A236" s="1" t="s">
        <v>36</v>
      </c>
      <c r="B236" s="1" t="s">
        <v>42</v>
      </c>
      <c r="C236" s="2" t="s">
        <v>4</v>
      </c>
      <c r="D236" s="4">
        <v>0.17710416666666701</v>
      </c>
      <c r="E236" s="1">
        <v>5.0000000000000001E-3</v>
      </c>
      <c r="F236" s="4">
        <f t="shared" si="6"/>
        <v>0.172104166666667</v>
      </c>
      <c r="G236" s="1">
        <f t="shared" si="7"/>
        <v>7.4141898750000141</v>
      </c>
    </row>
    <row r="237" spans="1:7">
      <c r="A237" s="1" t="s">
        <v>36</v>
      </c>
      <c r="B237" s="1" t="s">
        <v>42</v>
      </c>
      <c r="C237" s="2" t="s">
        <v>6</v>
      </c>
      <c r="D237" s="4">
        <v>0.16940416666666699</v>
      </c>
      <c r="E237" s="1">
        <v>5.0000000000000001E-3</v>
      </c>
      <c r="F237" s="4">
        <f t="shared" si="6"/>
        <v>0.16440416666666699</v>
      </c>
      <c r="G237" s="1">
        <f t="shared" si="7"/>
        <v>7.0836288750000129</v>
      </c>
    </row>
    <row r="238" spans="1:7">
      <c r="A238" s="1" t="s">
        <v>36</v>
      </c>
      <c r="B238" s="1" t="s">
        <v>42</v>
      </c>
      <c r="C238" s="2" t="s">
        <v>7</v>
      </c>
      <c r="D238" s="4">
        <v>0.23280416666666701</v>
      </c>
      <c r="E238" s="1">
        <v>5.0000000000000001E-3</v>
      </c>
      <c r="F238" s="4">
        <f t="shared" si="6"/>
        <v>0.227804166666667</v>
      </c>
      <c r="G238" s="1">
        <f t="shared" si="7"/>
        <v>9.8053908750000147</v>
      </c>
    </row>
    <row r="239" spans="1:7">
      <c r="A239" s="1" t="s">
        <v>36</v>
      </c>
      <c r="B239" s="1" t="s">
        <v>42</v>
      </c>
      <c r="C239" s="2" t="s">
        <v>8</v>
      </c>
      <c r="D239" s="4">
        <v>0.140604166666667</v>
      </c>
      <c r="E239" s="1">
        <v>5.0000000000000001E-3</v>
      </c>
      <c r="F239" s="4">
        <f t="shared" si="6"/>
        <v>0.135604166666667</v>
      </c>
      <c r="G239" s="1">
        <f t="shared" si="7"/>
        <v>5.8472448750000137</v>
      </c>
    </row>
    <row r="240" spans="1:7">
      <c r="A240" s="1" t="s">
        <v>36</v>
      </c>
      <c r="B240" s="1" t="s">
        <v>42</v>
      </c>
      <c r="C240" s="2" t="s">
        <v>10</v>
      </c>
      <c r="D240" s="4">
        <v>0.19570416666666701</v>
      </c>
      <c r="E240" s="1">
        <v>5.0000000000000001E-3</v>
      </c>
      <c r="F240" s="4">
        <f t="shared" si="6"/>
        <v>0.19070416666666701</v>
      </c>
      <c r="G240" s="1">
        <f t="shared" si="7"/>
        <v>8.2126878750000145</v>
      </c>
    </row>
    <row r="241" spans="1:7">
      <c r="A241" s="1" t="s">
        <v>36</v>
      </c>
      <c r="B241" s="1" t="s">
        <v>42</v>
      </c>
      <c r="C241" s="2" t="s">
        <v>11</v>
      </c>
      <c r="D241" s="4">
        <v>0.15430416666666699</v>
      </c>
      <c r="E241" s="1">
        <v>5.0000000000000001E-3</v>
      </c>
      <c r="F241" s="4">
        <f t="shared" si="6"/>
        <v>0.14930416666666699</v>
      </c>
      <c r="G241" s="1">
        <f t="shared" si="7"/>
        <v>6.435385875000013</v>
      </c>
    </row>
    <row r="242" spans="1:7">
      <c r="A242" s="1" t="s">
        <v>36</v>
      </c>
      <c r="B242" s="1" t="s">
        <v>42</v>
      </c>
      <c r="C242" s="2" t="s">
        <v>12</v>
      </c>
      <c r="D242" s="4">
        <v>0.124904166666667</v>
      </c>
      <c r="E242" s="1">
        <v>5.0000000000000001E-3</v>
      </c>
      <c r="F242" s="4">
        <f t="shared" si="6"/>
        <v>0.11990416666666699</v>
      </c>
      <c r="G242" s="1">
        <f t="shared" si="7"/>
        <v>5.173243875000014</v>
      </c>
    </row>
    <row r="243" spans="1:7">
      <c r="A243" s="1" t="s">
        <v>36</v>
      </c>
      <c r="B243" s="1" t="s">
        <v>42</v>
      </c>
      <c r="C243" s="2" t="s">
        <v>14</v>
      </c>
      <c r="D243" s="4">
        <v>0.15440416666666701</v>
      </c>
      <c r="E243" s="1">
        <v>5.0000000000000001E-3</v>
      </c>
      <c r="F243" s="4">
        <f t="shared" si="6"/>
        <v>0.149404166666667</v>
      </c>
      <c r="G243" s="1">
        <f t="shared" si="7"/>
        <v>6.4396788750000145</v>
      </c>
    </row>
    <row r="244" spans="1:7">
      <c r="A244" s="1" t="s">
        <v>36</v>
      </c>
      <c r="B244" s="1" t="s">
        <v>42</v>
      </c>
      <c r="C244" s="2" t="s">
        <v>15</v>
      </c>
      <c r="D244" s="4">
        <v>0.154204166666667</v>
      </c>
      <c r="E244" s="1">
        <v>5.0000000000000001E-3</v>
      </c>
      <c r="F244" s="4">
        <f t="shared" si="6"/>
        <v>0.149204166666667</v>
      </c>
      <c r="G244" s="1">
        <f t="shared" si="7"/>
        <v>6.4310928750000151</v>
      </c>
    </row>
    <row r="245" spans="1:7">
      <c r="A245" s="1" t="s">
        <v>36</v>
      </c>
      <c r="B245" s="1" t="s">
        <v>42</v>
      </c>
      <c r="C245" s="2" t="s">
        <v>16</v>
      </c>
      <c r="D245" s="4">
        <v>0.14930416666666699</v>
      </c>
      <c r="E245" s="1">
        <v>5.0000000000000001E-3</v>
      </c>
      <c r="F245" s="4">
        <f t="shared" si="6"/>
        <v>0.14430416666666698</v>
      </c>
      <c r="G245" s="1">
        <f t="shared" si="7"/>
        <v>6.2207358750000132</v>
      </c>
    </row>
    <row r="246" spans="1:7">
      <c r="A246" s="1" t="s">
        <v>36</v>
      </c>
      <c r="B246" s="1" t="s">
        <v>42</v>
      </c>
      <c r="C246" s="2" t="s">
        <v>18</v>
      </c>
      <c r="D246" s="4">
        <v>0.171404166666667</v>
      </c>
      <c r="E246" s="1">
        <v>5.0000000000000001E-3</v>
      </c>
      <c r="F246" s="4">
        <f t="shared" si="6"/>
        <v>0.16640416666666699</v>
      </c>
      <c r="G246" s="1">
        <f t="shared" si="7"/>
        <v>7.1694888750000132</v>
      </c>
    </row>
    <row r="247" spans="1:7">
      <c r="A247" s="1" t="s">
        <v>36</v>
      </c>
      <c r="B247" s="1" t="s">
        <v>42</v>
      </c>
      <c r="C247" s="2" t="s">
        <v>19</v>
      </c>
      <c r="D247" s="4">
        <v>0.140604166666667</v>
      </c>
      <c r="E247" s="1">
        <v>5.0000000000000001E-3</v>
      </c>
      <c r="F247" s="4">
        <f t="shared" si="6"/>
        <v>0.135604166666667</v>
      </c>
      <c r="G247" s="1">
        <f t="shared" si="7"/>
        <v>5.8472448750000137</v>
      </c>
    </row>
    <row r="248" spans="1:7">
      <c r="A248" s="1" t="s">
        <v>36</v>
      </c>
      <c r="B248" s="1" t="s">
        <v>42</v>
      </c>
      <c r="C248" s="2" t="s">
        <v>20</v>
      </c>
      <c r="D248" s="4">
        <v>0.14220416666666699</v>
      </c>
      <c r="E248" s="1">
        <v>5.0000000000000001E-3</v>
      </c>
      <c r="F248" s="4">
        <f t="shared" si="6"/>
        <v>0.13720416666666699</v>
      </c>
      <c r="G248" s="1">
        <f t="shared" si="7"/>
        <v>5.9159328750000144</v>
      </c>
    </row>
    <row r="249" spans="1:7">
      <c r="A249" s="1" t="s">
        <v>36</v>
      </c>
      <c r="B249" s="1" t="s">
        <v>42</v>
      </c>
      <c r="C249" s="2" t="s">
        <v>22</v>
      </c>
      <c r="D249" s="4">
        <v>0.160804166666667</v>
      </c>
      <c r="E249" s="1">
        <v>5.0000000000000001E-3</v>
      </c>
      <c r="F249" s="4">
        <f t="shared" si="6"/>
        <v>0.15580416666666699</v>
      </c>
      <c r="G249" s="1">
        <f t="shared" si="7"/>
        <v>6.714430875000013</v>
      </c>
    </row>
    <row r="250" spans="1:7">
      <c r="A250" s="1" t="s">
        <v>36</v>
      </c>
      <c r="B250" s="1" t="s">
        <v>42</v>
      </c>
      <c r="C250" s="2" t="s">
        <v>23</v>
      </c>
      <c r="D250" s="4">
        <v>0.15480416666666699</v>
      </c>
      <c r="E250" s="1">
        <v>5.0000000000000001E-3</v>
      </c>
      <c r="F250" s="4">
        <f t="shared" si="6"/>
        <v>0.14980416666666699</v>
      </c>
      <c r="G250" s="1">
        <f t="shared" si="7"/>
        <v>6.456850875000014</v>
      </c>
    </row>
    <row r="251" spans="1:7">
      <c r="A251" s="1" t="s">
        <v>36</v>
      </c>
      <c r="B251" s="1" t="s">
        <v>42</v>
      </c>
      <c r="C251" s="2" t="s">
        <v>24</v>
      </c>
      <c r="D251" s="4">
        <v>0.18740416666666701</v>
      </c>
      <c r="E251" s="1">
        <v>5.0000000000000001E-3</v>
      </c>
      <c r="F251" s="4">
        <f t="shared" si="6"/>
        <v>0.18240416666666701</v>
      </c>
      <c r="G251" s="1">
        <f t="shared" si="7"/>
        <v>7.8563688750000136</v>
      </c>
    </row>
    <row r="252" spans="1:7">
      <c r="A252" s="1" t="s">
        <v>36</v>
      </c>
      <c r="B252" s="1" t="s">
        <v>42</v>
      </c>
      <c r="C252" s="2" t="s">
        <v>26</v>
      </c>
      <c r="D252" s="4">
        <v>0.177904166666667</v>
      </c>
      <c r="E252" s="1">
        <v>5.0000000000000001E-3</v>
      </c>
      <c r="F252" s="4">
        <f t="shared" si="6"/>
        <v>0.172904166666667</v>
      </c>
      <c r="G252" s="1">
        <f t="shared" si="7"/>
        <v>7.4485338750000132</v>
      </c>
    </row>
    <row r="253" spans="1:7">
      <c r="A253" s="1" t="s">
        <v>36</v>
      </c>
      <c r="B253" s="1" t="s">
        <v>42</v>
      </c>
      <c r="C253" s="2" t="s">
        <v>27</v>
      </c>
      <c r="D253" s="4">
        <v>0.16980416666666701</v>
      </c>
      <c r="E253" s="1">
        <v>5.0000000000000001E-3</v>
      </c>
      <c r="F253" s="4">
        <f t="shared" si="6"/>
        <v>0.164804166666667</v>
      </c>
      <c r="G253" s="1">
        <f t="shared" si="7"/>
        <v>7.1008008750000142</v>
      </c>
    </row>
    <row r="254" spans="1:7">
      <c r="A254" s="1" t="s">
        <v>36</v>
      </c>
      <c r="B254" s="1" t="s">
        <v>43</v>
      </c>
      <c r="C254" s="2" t="s">
        <v>4</v>
      </c>
      <c r="D254" s="4">
        <v>0.165045833333333</v>
      </c>
      <c r="E254" s="1">
        <v>5.0000000000000001E-3</v>
      </c>
      <c r="F254" s="4">
        <f t="shared" si="6"/>
        <v>0.160045833333333</v>
      </c>
      <c r="G254" s="1">
        <f t="shared" si="7"/>
        <v>6.8965256249999856</v>
      </c>
    </row>
    <row r="255" spans="1:7">
      <c r="A255" s="1" t="s">
        <v>36</v>
      </c>
      <c r="B255" s="1" t="s">
        <v>43</v>
      </c>
      <c r="C255" s="2" t="s">
        <v>6</v>
      </c>
      <c r="D255" s="4">
        <v>0.13874583333333301</v>
      </c>
      <c r="E255" s="1">
        <v>5.0000000000000001E-3</v>
      </c>
      <c r="F255" s="4">
        <f t="shared" si="6"/>
        <v>0.13374583333333301</v>
      </c>
      <c r="G255" s="1">
        <f t="shared" si="7"/>
        <v>5.7674666249999857</v>
      </c>
    </row>
    <row r="256" spans="1:7">
      <c r="A256" s="1" t="s">
        <v>36</v>
      </c>
      <c r="B256" s="1" t="s">
        <v>43</v>
      </c>
      <c r="C256" s="2" t="s">
        <v>7</v>
      </c>
      <c r="D256" s="4">
        <v>0.14954583333333299</v>
      </c>
      <c r="E256" s="1">
        <v>5.0000000000000001E-3</v>
      </c>
      <c r="F256" s="4">
        <f t="shared" si="6"/>
        <v>0.14454583333333298</v>
      </c>
      <c r="G256" s="1">
        <f t="shared" si="7"/>
        <v>6.2311106249999844</v>
      </c>
    </row>
    <row r="257" spans="1:7">
      <c r="A257" s="1" t="s">
        <v>36</v>
      </c>
      <c r="B257" s="1" t="s">
        <v>43</v>
      </c>
      <c r="C257" s="2" t="s">
        <v>8</v>
      </c>
      <c r="D257" s="4">
        <v>0.138645833333333</v>
      </c>
      <c r="E257" s="1">
        <v>5.0000000000000001E-3</v>
      </c>
      <c r="F257" s="4">
        <f t="shared" si="6"/>
        <v>0.13364583333333299</v>
      </c>
      <c r="G257" s="1">
        <f t="shared" si="7"/>
        <v>5.7631736249999852</v>
      </c>
    </row>
    <row r="258" spans="1:7">
      <c r="A258" s="1" t="s">
        <v>36</v>
      </c>
      <c r="B258" s="1" t="s">
        <v>43</v>
      </c>
      <c r="C258" s="2" t="s">
        <v>10</v>
      </c>
      <c r="D258" s="4">
        <v>0.14964583333333301</v>
      </c>
      <c r="E258" s="1">
        <v>5.0000000000000001E-3</v>
      </c>
      <c r="F258" s="4">
        <f t="shared" si="6"/>
        <v>0.144645833333333</v>
      </c>
      <c r="G258" s="1">
        <f t="shared" si="7"/>
        <v>6.2354036249999858</v>
      </c>
    </row>
    <row r="259" spans="1:7">
      <c r="A259" s="1" t="s">
        <v>36</v>
      </c>
      <c r="B259" s="1" t="s">
        <v>43</v>
      </c>
      <c r="C259" s="2" t="s">
        <v>11</v>
      </c>
      <c r="D259" s="4">
        <v>0.14354583333333301</v>
      </c>
      <c r="E259" s="1">
        <v>5.0000000000000001E-3</v>
      </c>
      <c r="F259" s="4">
        <f t="shared" ref="F259:F289" si="8">D259-E259</f>
        <v>0.13854583333333301</v>
      </c>
      <c r="G259" s="1">
        <f t="shared" ref="G259:G289" si="9">0.2862*(F259+0.0006)*1.5/0.01</f>
        <v>5.9735306249999853</v>
      </c>
    </row>
    <row r="260" spans="1:7">
      <c r="A260" s="1" t="s">
        <v>36</v>
      </c>
      <c r="B260" s="1" t="s">
        <v>43</v>
      </c>
      <c r="C260" s="2" t="s">
        <v>12</v>
      </c>
      <c r="D260" s="4">
        <v>0.13854583333333301</v>
      </c>
      <c r="E260" s="1">
        <v>5.0000000000000001E-3</v>
      </c>
      <c r="F260" s="4">
        <f t="shared" si="8"/>
        <v>0.133545833333333</v>
      </c>
      <c r="G260" s="1">
        <f t="shared" si="9"/>
        <v>5.7588806249999855</v>
      </c>
    </row>
    <row r="261" spans="1:7">
      <c r="A261" s="1" t="s">
        <v>36</v>
      </c>
      <c r="B261" s="1" t="s">
        <v>43</v>
      </c>
      <c r="C261" s="2" t="s">
        <v>14</v>
      </c>
      <c r="D261" s="4">
        <v>0.132845833333333</v>
      </c>
      <c r="E261" s="1">
        <v>5.0000000000000001E-3</v>
      </c>
      <c r="F261" s="4">
        <f t="shared" si="8"/>
        <v>0.12784583333333299</v>
      </c>
      <c r="G261" s="1">
        <f t="shared" si="9"/>
        <v>5.5141796249999846</v>
      </c>
    </row>
    <row r="262" spans="1:7">
      <c r="A262" s="1" t="s">
        <v>36</v>
      </c>
      <c r="B262" s="1" t="s">
        <v>43</v>
      </c>
      <c r="C262" s="2" t="s">
        <v>15</v>
      </c>
      <c r="D262" s="4">
        <v>0.123645833333333</v>
      </c>
      <c r="E262" s="1">
        <v>5.0000000000000001E-3</v>
      </c>
      <c r="F262" s="4">
        <f t="shared" si="8"/>
        <v>0.11864583333333299</v>
      </c>
      <c r="G262" s="1">
        <f t="shared" si="9"/>
        <v>5.1192236249999858</v>
      </c>
    </row>
    <row r="263" spans="1:7">
      <c r="A263" s="1" t="s">
        <v>36</v>
      </c>
      <c r="B263" s="1" t="s">
        <v>43</v>
      </c>
      <c r="C263" s="2" t="s">
        <v>16</v>
      </c>
      <c r="D263" s="4">
        <v>0.163045833333333</v>
      </c>
      <c r="E263" s="1">
        <v>5.0000000000000001E-3</v>
      </c>
      <c r="F263" s="4">
        <f t="shared" si="8"/>
        <v>0.158045833333333</v>
      </c>
      <c r="G263" s="1">
        <f t="shared" si="9"/>
        <v>6.8106656249999853</v>
      </c>
    </row>
    <row r="264" spans="1:7">
      <c r="A264" s="1" t="s">
        <v>36</v>
      </c>
      <c r="B264" s="1" t="s">
        <v>43</v>
      </c>
      <c r="C264" s="2" t="s">
        <v>18</v>
      </c>
      <c r="D264" s="4">
        <v>0.14654583333333299</v>
      </c>
      <c r="E264" s="1">
        <v>5.0000000000000001E-3</v>
      </c>
      <c r="F264" s="4">
        <f t="shared" si="8"/>
        <v>0.14154583333333298</v>
      </c>
      <c r="G264" s="1">
        <f t="shared" si="9"/>
        <v>6.102320624999984</v>
      </c>
    </row>
    <row r="265" spans="1:7">
      <c r="A265" s="1" t="s">
        <v>36</v>
      </c>
      <c r="B265" s="1" t="s">
        <v>43</v>
      </c>
      <c r="C265" s="2" t="s">
        <v>19</v>
      </c>
      <c r="D265" s="4">
        <v>0.14524583333333299</v>
      </c>
      <c r="E265" s="1">
        <v>5.0000000000000001E-3</v>
      </c>
      <c r="F265" s="4">
        <f t="shared" si="8"/>
        <v>0.14024583333333299</v>
      </c>
      <c r="G265" s="1">
        <f t="shared" si="9"/>
        <v>6.0465116249999848</v>
      </c>
    </row>
    <row r="266" spans="1:7">
      <c r="A266" s="1" t="s">
        <v>36</v>
      </c>
      <c r="B266" s="1" t="s">
        <v>43</v>
      </c>
      <c r="C266" s="2" t="s">
        <v>20</v>
      </c>
      <c r="D266" s="4">
        <v>0.154245833333333</v>
      </c>
      <c r="E266" s="1">
        <v>5.0000000000000001E-3</v>
      </c>
      <c r="F266" s="4">
        <f t="shared" si="8"/>
        <v>0.14924583333333299</v>
      </c>
      <c r="G266" s="1">
        <f t="shared" si="9"/>
        <v>6.4328816249999852</v>
      </c>
    </row>
    <row r="267" spans="1:7">
      <c r="A267" s="1" t="s">
        <v>36</v>
      </c>
      <c r="B267" s="1" t="s">
        <v>43</v>
      </c>
      <c r="C267" s="2" t="s">
        <v>22</v>
      </c>
      <c r="D267" s="4">
        <v>0.14044583333333299</v>
      </c>
      <c r="E267" s="1">
        <v>5.0000000000000001E-3</v>
      </c>
      <c r="F267" s="4">
        <f t="shared" si="8"/>
        <v>0.13544583333333299</v>
      </c>
      <c r="G267" s="1">
        <f t="shared" si="9"/>
        <v>5.8404476249999853</v>
      </c>
    </row>
    <row r="268" spans="1:7">
      <c r="A268" s="1" t="s">
        <v>36</v>
      </c>
      <c r="B268" s="1" t="s">
        <v>43</v>
      </c>
      <c r="C268" s="2" t="s">
        <v>23</v>
      </c>
      <c r="D268" s="4">
        <v>0.14774583333333299</v>
      </c>
      <c r="E268" s="1">
        <v>5.0000000000000001E-3</v>
      </c>
      <c r="F268" s="4">
        <f t="shared" si="8"/>
        <v>0.14274583333333299</v>
      </c>
      <c r="G268" s="1">
        <f t="shared" si="9"/>
        <v>6.1538366249999852</v>
      </c>
    </row>
    <row r="269" spans="1:7">
      <c r="A269" s="1" t="s">
        <v>36</v>
      </c>
      <c r="B269" s="1" t="s">
        <v>43</v>
      </c>
      <c r="C269" s="2" t="s">
        <v>24</v>
      </c>
      <c r="D269" s="4">
        <v>0.158545833333333</v>
      </c>
      <c r="E269" s="1">
        <v>5.0000000000000001E-3</v>
      </c>
      <c r="F269" s="4">
        <f t="shared" si="8"/>
        <v>0.15354583333333299</v>
      </c>
      <c r="G269" s="1">
        <f t="shared" si="9"/>
        <v>6.6174806249999856</v>
      </c>
    </row>
    <row r="270" spans="1:7">
      <c r="A270" s="1" t="s">
        <v>36</v>
      </c>
      <c r="B270" s="1" t="s">
        <v>43</v>
      </c>
      <c r="C270" s="2" t="s">
        <v>26</v>
      </c>
      <c r="D270" s="4">
        <v>0.16444583333333301</v>
      </c>
      <c r="E270" s="1">
        <v>5.0000000000000001E-3</v>
      </c>
      <c r="F270" s="4">
        <f t="shared" si="8"/>
        <v>0.15944583333333301</v>
      </c>
      <c r="G270" s="1">
        <f t="shared" si="9"/>
        <v>6.8707676249999858</v>
      </c>
    </row>
    <row r="271" spans="1:7">
      <c r="A271" s="1" t="s">
        <v>36</v>
      </c>
      <c r="B271" s="1" t="s">
        <v>43</v>
      </c>
      <c r="C271" s="2" t="s">
        <v>27</v>
      </c>
      <c r="D271" s="4">
        <v>0.131045833333333</v>
      </c>
      <c r="E271" s="1">
        <v>5.0000000000000001E-3</v>
      </c>
      <c r="F271" s="4">
        <f t="shared" si="8"/>
        <v>0.126045833333333</v>
      </c>
      <c r="G271" s="1">
        <f t="shared" si="9"/>
        <v>5.4369056249999854</v>
      </c>
    </row>
    <row r="272" spans="1:7">
      <c r="A272" s="1" t="s">
        <v>36</v>
      </c>
      <c r="B272" s="1" t="s">
        <v>44</v>
      </c>
      <c r="C272" s="2" t="s">
        <v>4</v>
      </c>
      <c r="D272" s="4">
        <v>0.12794583333333301</v>
      </c>
      <c r="E272" s="1">
        <v>5.0000000000000001E-3</v>
      </c>
      <c r="F272" s="4">
        <f t="shared" si="8"/>
        <v>0.122945833333333</v>
      </c>
      <c r="G272" s="1">
        <f t="shared" si="9"/>
        <v>5.3038226249999862</v>
      </c>
    </row>
    <row r="273" spans="1:7">
      <c r="A273" s="1" t="s">
        <v>36</v>
      </c>
      <c r="B273" s="1" t="s">
        <v>44</v>
      </c>
      <c r="C273" s="2" t="s">
        <v>6</v>
      </c>
      <c r="D273" s="4">
        <v>0.104045833333333</v>
      </c>
      <c r="E273" s="1">
        <v>5.0000000000000001E-3</v>
      </c>
      <c r="F273" s="4">
        <f t="shared" si="8"/>
        <v>9.9045833333333E-2</v>
      </c>
      <c r="G273" s="1">
        <f t="shared" si="9"/>
        <v>4.2777956249999862</v>
      </c>
    </row>
    <row r="274" spans="1:7">
      <c r="A274" s="1" t="s">
        <v>36</v>
      </c>
      <c r="B274" s="1" t="s">
        <v>44</v>
      </c>
      <c r="C274" s="2" t="s">
        <v>7</v>
      </c>
      <c r="D274" s="4">
        <v>0.119745833333333</v>
      </c>
      <c r="E274" s="1">
        <v>5.0000000000000001E-3</v>
      </c>
      <c r="F274" s="4">
        <f t="shared" si="8"/>
        <v>0.11474583333333299</v>
      </c>
      <c r="G274" s="1">
        <f t="shared" si="9"/>
        <v>4.9517966249999867</v>
      </c>
    </row>
    <row r="275" spans="1:7">
      <c r="A275" s="1" t="s">
        <v>36</v>
      </c>
      <c r="B275" s="1" t="s">
        <v>44</v>
      </c>
      <c r="C275" s="2" t="s">
        <v>8</v>
      </c>
      <c r="D275" s="4">
        <v>0.110345833333333</v>
      </c>
      <c r="E275" s="1">
        <v>5.0000000000000001E-3</v>
      </c>
      <c r="F275" s="4">
        <f t="shared" si="8"/>
        <v>0.105345833333333</v>
      </c>
      <c r="G275" s="1">
        <f t="shared" si="9"/>
        <v>4.548254624999986</v>
      </c>
    </row>
    <row r="276" spans="1:7">
      <c r="A276" s="1" t="s">
        <v>36</v>
      </c>
      <c r="B276" s="1" t="s">
        <v>44</v>
      </c>
      <c r="C276" s="2" t="s">
        <v>10</v>
      </c>
      <c r="D276" s="4">
        <v>0.122445833333333</v>
      </c>
      <c r="E276" s="1">
        <v>5.0000000000000001E-3</v>
      </c>
      <c r="F276" s="4">
        <f t="shared" si="8"/>
        <v>0.117445833333333</v>
      </c>
      <c r="G276" s="1">
        <f t="shared" si="9"/>
        <v>5.0677076249999864</v>
      </c>
    </row>
    <row r="277" spans="1:7">
      <c r="A277" s="1" t="s">
        <v>36</v>
      </c>
      <c r="B277" s="1" t="s">
        <v>44</v>
      </c>
      <c r="C277" s="2" t="s">
        <v>11</v>
      </c>
      <c r="D277" s="4">
        <v>0.13944583333333299</v>
      </c>
      <c r="E277" s="1">
        <v>5.0000000000000001E-3</v>
      </c>
      <c r="F277" s="4">
        <f t="shared" si="8"/>
        <v>0.13444583333333299</v>
      </c>
      <c r="G277" s="1">
        <f t="shared" si="9"/>
        <v>5.7975176249999851</v>
      </c>
    </row>
    <row r="278" spans="1:7">
      <c r="A278" s="1" t="s">
        <v>36</v>
      </c>
      <c r="B278" s="1" t="s">
        <v>44</v>
      </c>
      <c r="C278" s="2" t="s">
        <v>12</v>
      </c>
      <c r="D278" s="4">
        <v>9.8345833333333396E-2</v>
      </c>
      <c r="E278" s="1">
        <v>5.0000000000000001E-3</v>
      </c>
      <c r="F278" s="4">
        <f t="shared" si="8"/>
        <v>9.3345833333333392E-2</v>
      </c>
      <c r="G278" s="1">
        <f t="shared" si="9"/>
        <v>4.033094625000003</v>
      </c>
    </row>
    <row r="279" spans="1:7">
      <c r="A279" s="1" t="s">
        <v>36</v>
      </c>
      <c r="B279" s="1" t="s">
        <v>44</v>
      </c>
      <c r="C279" s="2" t="s">
        <v>14</v>
      </c>
      <c r="D279" s="4">
        <v>8.2045833333333304E-2</v>
      </c>
      <c r="E279" s="1">
        <v>5.0000000000000001E-3</v>
      </c>
      <c r="F279" s="4">
        <f t="shared" si="8"/>
        <v>7.70458333333333E-2</v>
      </c>
      <c r="G279" s="1">
        <f t="shared" si="9"/>
        <v>3.3333356249999988</v>
      </c>
    </row>
    <row r="280" spans="1:7">
      <c r="A280" s="1" t="s">
        <v>36</v>
      </c>
      <c r="B280" s="1" t="s">
        <v>44</v>
      </c>
      <c r="C280" s="2" t="s">
        <v>15</v>
      </c>
      <c r="D280" s="4">
        <v>9.5345833333333394E-2</v>
      </c>
      <c r="E280" s="1">
        <v>5.0000000000000001E-3</v>
      </c>
      <c r="F280" s="4">
        <f t="shared" si="8"/>
        <v>9.0345833333333389E-2</v>
      </c>
      <c r="G280" s="1">
        <f t="shared" si="9"/>
        <v>3.9043046250000026</v>
      </c>
    </row>
    <row r="281" spans="1:7">
      <c r="A281" s="1" t="s">
        <v>36</v>
      </c>
      <c r="B281" s="1" t="s">
        <v>44</v>
      </c>
      <c r="C281" s="2" t="s">
        <v>16</v>
      </c>
      <c r="D281" s="4">
        <v>8.1545833333333304E-2</v>
      </c>
      <c r="E281" s="1">
        <v>5.0000000000000001E-3</v>
      </c>
      <c r="F281" s="4">
        <f t="shared" si="8"/>
        <v>7.6545833333333299E-2</v>
      </c>
      <c r="G281" s="1">
        <f t="shared" si="9"/>
        <v>3.3118706249999992</v>
      </c>
    </row>
    <row r="282" spans="1:7">
      <c r="A282" s="1" t="s">
        <v>36</v>
      </c>
      <c r="B282" s="1" t="s">
        <v>44</v>
      </c>
      <c r="C282" s="2" t="s">
        <v>18</v>
      </c>
      <c r="D282" s="4">
        <v>0.112745833333333</v>
      </c>
      <c r="E282" s="1">
        <v>5.0000000000000001E-3</v>
      </c>
      <c r="F282" s="4">
        <f t="shared" si="8"/>
        <v>0.107745833333333</v>
      </c>
      <c r="G282" s="1">
        <f t="shared" si="9"/>
        <v>4.6512866249999849</v>
      </c>
    </row>
    <row r="283" spans="1:7">
      <c r="A283" s="1" t="s">
        <v>36</v>
      </c>
      <c r="B283" s="1" t="s">
        <v>44</v>
      </c>
      <c r="C283" s="2" t="s">
        <v>19</v>
      </c>
      <c r="D283" s="4">
        <v>0.112745833333333</v>
      </c>
      <c r="E283" s="1">
        <v>5.0000000000000001E-3</v>
      </c>
      <c r="F283" s="4">
        <f t="shared" si="8"/>
        <v>0.107745833333333</v>
      </c>
      <c r="G283" s="1">
        <f t="shared" si="9"/>
        <v>4.6512866249999849</v>
      </c>
    </row>
    <row r="284" spans="1:7">
      <c r="A284" s="1" t="s">
        <v>36</v>
      </c>
      <c r="B284" s="1" t="s">
        <v>44</v>
      </c>
      <c r="C284" s="2" t="s">
        <v>20</v>
      </c>
      <c r="D284" s="4">
        <v>0.13524583333333301</v>
      </c>
      <c r="E284" s="1">
        <v>5.0000000000000001E-3</v>
      </c>
      <c r="F284" s="4">
        <f t="shared" si="8"/>
        <v>0.13024583333333301</v>
      </c>
      <c r="G284" s="1">
        <f t="shared" si="9"/>
        <v>5.6172116249999862</v>
      </c>
    </row>
    <row r="285" spans="1:7">
      <c r="A285" s="1" t="s">
        <v>36</v>
      </c>
      <c r="B285" s="1" t="s">
        <v>44</v>
      </c>
      <c r="C285" s="2" t="s">
        <v>22</v>
      </c>
      <c r="D285" s="4">
        <v>0.110745833333333</v>
      </c>
      <c r="E285" s="1">
        <v>5.0000000000000001E-3</v>
      </c>
      <c r="F285" s="4">
        <f t="shared" si="8"/>
        <v>0.105745833333333</v>
      </c>
      <c r="G285" s="1">
        <f t="shared" si="9"/>
        <v>4.5654266249999855</v>
      </c>
    </row>
    <row r="286" spans="1:7">
      <c r="A286" s="1" t="s">
        <v>36</v>
      </c>
      <c r="B286" s="1" t="s">
        <v>44</v>
      </c>
      <c r="C286" s="2" t="s">
        <v>23</v>
      </c>
      <c r="D286" s="4">
        <v>0.114945833333333</v>
      </c>
      <c r="E286" s="1">
        <v>5.0000000000000001E-3</v>
      </c>
      <c r="F286" s="4">
        <f t="shared" si="8"/>
        <v>0.10994583333333299</v>
      </c>
      <c r="G286" s="1">
        <f t="shared" si="9"/>
        <v>4.7457326249999863</v>
      </c>
    </row>
    <row r="287" spans="1:7">
      <c r="A287" s="1" t="s">
        <v>36</v>
      </c>
      <c r="B287" s="1" t="s">
        <v>44</v>
      </c>
      <c r="C287" s="2" t="s">
        <v>24</v>
      </c>
      <c r="D287" s="4">
        <v>0.12354583333333299</v>
      </c>
      <c r="E287" s="1">
        <v>5.0000000000000001E-3</v>
      </c>
      <c r="F287" s="4">
        <f t="shared" si="8"/>
        <v>0.11854583333333299</v>
      </c>
      <c r="G287" s="1">
        <f t="shared" si="9"/>
        <v>5.1149306249999853</v>
      </c>
    </row>
    <row r="288" spans="1:7">
      <c r="A288" s="1" t="s">
        <v>36</v>
      </c>
      <c r="B288" s="1" t="s">
        <v>44</v>
      </c>
      <c r="C288" s="2" t="s">
        <v>26</v>
      </c>
      <c r="D288" s="4">
        <v>0.115045833333333</v>
      </c>
      <c r="E288" s="1">
        <v>5.0000000000000001E-3</v>
      </c>
      <c r="F288" s="4">
        <f t="shared" si="8"/>
        <v>0.110045833333333</v>
      </c>
      <c r="G288" s="1">
        <f t="shared" si="9"/>
        <v>4.7500256249999859</v>
      </c>
    </row>
    <row r="289" spans="1:7">
      <c r="A289" s="1" t="s">
        <v>36</v>
      </c>
      <c r="B289" s="1" t="s">
        <v>44</v>
      </c>
      <c r="C289" s="2" t="s">
        <v>27</v>
      </c>
      <c r="D289" s="4">
        <v>9.7145833333333306E-2</v>
      </c>
      <c r="E289" s="1">
        <v>5.0000000000000001E-3</v>
      </c>
      <c r="F289" s="4">
        <f t="shared" si="8"/>
        <v>9.2145833333333302E-2</v>
      </c>
      <c r="G289" s="1">
        <f t="shared" si="9"/>
        <v>3.9815786249999991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A8AF-B10F-CA40-AAAA-8B2BD51C62D8}">
  <dimension ref="A1:G289"/>
  <sheetViews>
    <sheetView zoomScale="127" workbookViewId="0">
      <selection activeCell="G2" sqref="G2"/>
    </sheetView>
  </sheetViews>
  <sheetFormatPr baseColWidth="10" defaultRowHeight="16"/>
  <cols>
    <col min="1" max="3" width="10.83203125" style="1"/>
    <col min="4" max="4" width="12.83203125" style="4" customWidth="1"/>
    <col min="5" max="7" width="10.83203125" style="1"/>
  </cols>
  <sheetData>
    <row r="1" spans="1:7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49</v>
      </c>
    </row>
    <row r="2" spans="1:7">
      <c r="A2" s="1" t="s">
        <v>35</v>
      </c>
      <c r="B2" s="1" t="s">
        <v>28</v>
      </c>
      <c r="C2" s="1" t="s">
        <v>5</v>
      </c>
      <c r="D2" s="4">
        <v>0.32213750000000002</v>
      </c>
      <c r="E2" s="1">
        <v>5.0000000000000001E-3</v>
      </c>
      <c r="F2" s="4">
        <f>D2-E2</f>
        <v>0.31713750000000002</v>
      </c>
      <c r="G2" s="1">
        <f>0.2862*(F2+0.0006)*1.5/0.01</f>
        <v>13.640470874999998</v>
      </c>
    </row>
    <row r="3" spans="1:7">
      <c r="A3" s="1" t="s">
        <v>35</v>
      </c>
      <c r="B3" s="1" t="s">
        <v>28</v>
      </c>
      <c r="C3" s="1" t="s">
        <v>6</v>
      </c>
      <c r="D3" s="4">
        <v>0.3198375</v>
      </c>
      <c r="E3" s="1">
        <v>5.0000000000000001E-3</v>
      </c>
      <c r="F3" s="4">
        <f t="shared" ref="F3:F66" si="0">D3-E3</f>
        <v>0.31483749999999999</v>
      </c>
      <c r="G3" s="1">
        <f t="shared" ref="G3:G66" si="1">0.2862*(F3+0.0006)*1.5/0.01</f>
        <v>13.541731874999998</v>
      </c>
    </row>
    <row r="4" spans="1:7">
      <c r="A4" s="1" t="s">
        <v>35</v>
      </c>
      <c r="B4" s="1" t="s">
        <v>28</v>
      </c>
      <c r="C4" s="1" t="s">
        <v>7</v>
      </c>
      <c r="D4" s="4">
        <v>0.23723749999999999</v>
      </c>
      <c r="E4" s="1">
        <v>5.0000000000000001E-3</v>
      </c>
      <c r="F4" s="4">
        <f t="shared" si="0"/>
        <v>0.23223749999999999</v>
      </c>
      <c r="G4" s="1">
        <f t="shared" si="1"/>
        <v>9.9957138749999999</v>
      </c>
    </row>
    <row r="5" spans="1:7">
      <c r="A5" s="1" t="s">
        <v>35</v>
      </c>
      <c r="B5" s="1" t="s">
        <v>28</v>
      </c>
      <c r="C5" s="1" t="s">
        <v>9</v>
      </c>
      <c r="D5" s="4">
        <v>0.26913749999999997</v>
      </c>
      <c r="E5" s="1">
        <v>5.0000000000000001E-3</v>
      </c>
      <c r="F5" s="4">
        <f t="shared" si="0"/>
        <v>0.26413749999999997</v>
      </c>
      <c r="G5" s="1">
        <f t="shared" si="1"/>
        <v>11.365180874999997</v>
      </c>
    </row>
    <row r="6" spans="1:7">
      <c r="A6" s="1" t="s">
        <v>35</v>
      </c>
      <c r="B6" s="1" t="s">
        <v>28</v>
      </c>
      <c r="C6" s="1" t="s">
        <v>10</v>
      </c>
      <c r="D6" s="4">
        <v>0.37553750000000002</v>
      </c>
      <c r="E6" s="1">
        <v>5.0000000000000001E-3</v>
      </c>
      <c r="F6" s="4">
        <f t="shared" si="0"/>
        <v>0.37053750000000002</v>
      </c>
      <c r="G6" s="1">
        <f t="shared" si="1"/>
        <v>15.932932874999999</v>
      </c>
    </row>
    <row r="7" spans="1:7">
      <c r="A7" s="1" t="s">
        <v>35</v>
      </c>
      <c r="B7" s="1" t="s">
        <v>28</v>
      </c>
      <c r="C7" s="1" t="s">
        <v>11</v>
      </c>
      <c r="D7" s="4">
        <v>0.26473750000000001</v>
      </c>
      <c r="E7" s="1">
        <v>5.0000000000000001E-3</v>
      </c>
      <c r="F7" s="4">
        <f t="shared" si="0"/>
        <v>0.25973750000000001</v>
      </c>
      <c r="G7" s="1">
        <f t="shared" si="1"/>
        <v>11.176288874999999</v>
      </c>
    </row>
    <row r="8" spans="1:7">
      <c r="A8" s="1" t="s">
        <v>35</v>
      </c>
      <c r="B8" s="1" t="s">
        <v>28</v>
      </c>
      <c r="C8" s="1" t="s">
        <v>13</v>
      </c>
      <c r="D8" s="4">
        <v>0.27133750000000001</v>
      </c>
      <c r="E8" s="1">
        <v>5.0000000000000001E-3</v>
      </c>
      <c r="F8" s="4">
        <f t="shared" si="0"/>
        <v>0.2663375</v>
      </c>
      <c r="G8" s="1">
        <f t="shared" si="1"/>
        <v>11.459626875</v>
      </c>
    </row>
    <row r="9" spans="1:7">
      <c r="A9" s="1" t="s">
        <v>35</v>
      </c>
      <c r="B9" s="1" t="s">
        <v>28</v>
      </c>
      <c r="C9" s="1" t="s">
        <v>14</v>
      </c>
      <c r="D9" s="4">
        <v>0.26743749999999999</v>
      </c>
      <c r="E9" s="1">
        <v>5.0000000000000001E-3</v>
      </c>
      <c r="F9" s="4">
        <f t="shared" si="0"/>
        <v>0.26243749999999999</v>
      </c>
      <c r="G9" s="1">
        <f t="shared" si="1"/>
        <v>11.292199874999998</v>
      </c>
    </row>
    <row r="10" spans="1:7">
      <c r="A10" s="1" t="s">
        <v>35</v>
      </c>
      <c r="B10" s="1" t="s">
        <v>28</v>
      </c>
      <c r="C10" s="1" t="s">
        <v>15</v>
      </c>
      <c r="D10" s="4">
        <v>0.26473750000000001</v>
      </c>
      <c r="E10" s="1">
        <v>5.0000000000000001E-3</v>
      </c>
      <c r="F10" s="4">
        <f t="shared" si="0"/>
        <v>0.25973750000000001</v>
      </c>
      <c r="G10" s="1">
        <f t="shared" si="1"/>
        <v>11.176288874999999</v>
      </c>
    </row>
    <row r="11" spans="1:7">
      <c r="A11" s="1" t="s">
        <v>35</v>
      </c>
      <c r="B11" s="1" t="s">
        <v>28</v>
      </c>
      <c r="C11" s="1" t="s">
        <v>17</v>
      </c>
      <c r="D11" s="4">
        <v>0.24153749999999999</v>
      </c>
      <c r="E11" s="1">
        <v>5.0000000000000001E-3</v>
      </c>
      <c r="F11" s="4">
        <f t="shared" si="0"/>
        <v>0.23653749999999998</v>
      </c>
      <c r="G11" s="1">
        <f t="shared" si="1"/>
        <v>10.180312874999998</v>
      </c>
    </row>
    <row r="12" spans="1:7">
      <c r="A12" s="1" t="s">
        <v>35</v>
      </c>
      <c r="B12" s="1" t="s">
        <v>28</v>
      </c>
      <c r="C12" s="1" t="s">
        <v>18</v>
      </c>
      <c r="D12" s="4">
        <v>0.2759375</v>
      </c>
      <c r="E12" s="1">
        <v>5.0000000000000001E-3</v>
      </c>
      <c r="F12" s="4">
        <f t="shared" si="0"/>
        <v>0.2709375</v>
      </c>
      <c r="G12" s="1">
        <f t="shared" si="1"/>
        <v>11.657104875</v>
      </c>
    </row>
    <row r="13" spans="1:7">
      <c r="A13" s="1" t="s">
        <v>35</v>
      </c>
      <c r="B13" s="1" t="s">
        <v>28</v>
      </c>
      <c r="C13" s="1" t="s">
        <v>19</v>
      </c>
      <c r="D13" s="4">
        <v>0.2290375</v>
      </c>
      <c r="E13" s="1">
        <v>5.0000000000000001E-3</v>
      </c>
      <c r="F13" s="4">
        <f t="shared" si="0"/>
        <v>0.2240375</v>
      </c>
      <c r="G13" s="1">
        <f t="shared" si="1"/>
        <v>9.6436878749999977</v>
      </c>
    </row>
    <row r="14" spans="1:7">
      <c r="A14" s="1" t="s">
        <v>35</v>
      </c>
      <c r="B14" s="1" t="s">
        <v>28</v>
      </c>
      <c r="C14" s="1" t="s">
        <v>21</v>
      </c>
      <c r="D14" s="4">
        <v>0.30253750000000001</v>
      </c>
      <c r="E14" s="1">
        <v>5.0000000000000001E-3</v>
      </c>
      <c r="F14" s="4">
        <f t="shared" si="0"/>
        <v>0.29753750000000001</v>
      </c>
      <c r="G14" s="1">
        <f t="shared" si="1"/>
        <v>12.799042875</v>
      </c>
    </row>
    <row r="15" spans="1:7">
      <c r="A15" s="1" t="s">
        <v>35</v>
      </c>
      <c r="B15" s="1" t="s">
        <v>28</v>
      </c>
      <c r="C15" s="1" t="s">
        <v>22</v>
      </c>
      <c r="D15" s="4">
        <v>0.27903749999999999</v>
      </c>
      <c r="E15" s="1">
        <v>5.0000000000000001E-3</v>
      </c>
      <c r="F15" s="4">
        <f t="shared" si="0"/>
        <v>0.27403749999999999</v>
      </c>
      <c r="G15" s="1">
        <f t="shared" si="1"/>
        <v>11.790187874999999</v>
      </c>
    </row>
    <row r="16" spans="1:7">
      <c r="A16" s="1" t="s">
        <v>35</v>
      </c>
      <c r="B16" s="1" t="s">
        <v>28</v>
      </c>
      <c r="C16" s="1" t="s">
        <v>23</v>
      </c>
      <c r="D16" s="4">
        <v>0.31233749999999999</v>
      </c>
      <c r="E16" s="1">
        <v>5.0000000000000001E-3</v>
      </c>
      <c r="F16" s="4">
        <f t="shared" si="0"/>
        <v>0.30733749999999999</v>
      </c>
      <c r="G16" s="1">
        <f t="shared" si="1"/>
        <v>13.219756875</v>
      </c>
    </row>
    <row r="17" spans="1:7">
      <c r="A17" s="1" t="s">
        <v>35</v>
      </c>
      <c r="B17" s="1" t="s">
        <v>28</v>
      </c>
      <c r="C17" s="1" t="s">
        <v>25</v>
      </c>
      <c r="D17" s="4">
        <v>0.30713750000000001</v>
      </c>
      <c r="E17" s="1">
        <v>5.0000000000000001E-3</v>
      </c>
      <c r="F17" s="4">
        <f t="shared" si="0"/>
        <v>0.3021375</v>
      </c>
      <c r="G17" s="1">
        <f t="shared" si="1"/>
        <v>12.996520875</v>
      </c>
    </row>
    <row r="18" spans="1:7">
      <c r="A18" s="1" t="s">
        <v>35</v>
      </c>
      <c r="B18" s="1" t="s">
        <v>28</v>
      </c>
      <c r="C18" s="1" t="s">
        <v>26</v>
      </c>
      <c r="D18" s="4">
        <v>0.3107375</v>
      </c>
      <c r="E18" s="1">
        <v>5.0000000000000001E-3</v>
      </c>
      <c r="F18" s="4">
        <f t="shared" si="0"/>
        <v>0.3057375</v>
      </c>
      <c r="G18" s="1">
        <f t="shared" si="1"/>
        <v>13.151068874999998</v>
      </c>
    </row>
    <row r="19" spans="1:7">
      <c r="A19" s="1" t="s">
        <v>35</v>
      </c>
      <c r="B19" s="1" t="s">
        <v>28</v>
      </c>
      <c r="C19" s="1" t="s">
        <v>27</v>
      </c>
      <c r="D19" s="4">
        <v>0.3808375</v>
      </c>
      <c r="E19" s="1">
        <v>5.0000000000000001E-3</v>
      </c>
      <c r="F19" s="4">
        <f t="shared" si="0"/>
        <v>0.37583749999999999</v>
      </c>
      <c r="G19" s="1">
        <f t="shared" si="1"/>
        <v>16.160461874999999</v>
      </c>
    </row>
    <row r="20" spans="1:7">
      <c r="A20" s="1" t="s">
        <v>35</v>
      </c>
      <c r="B20" s="1" t="s">
        <v>2</v>
      </c>
      <c r="C20" s="1" t="s">
        <v>5</v>
      </c>
      <c r="D20" s="4">
        <v>0.22953750000000001</v>
      </c>
      <c r="E20" s="1">
        <v>5.0000000000000001E-3</v>
      </c>
      <c r="F20" s="4">
        <f t="shared" si="0"/>
        <v>0.2245375</v>
      </c>
      <c r="G20" s="1">
        <f t="shared" si="1"/>
        <v>9.6651528749999986</v>
      </c>
    </row>
    <row r="21" spans="1:7">
      <c r="A21" s="1" t="s">
        <v>35</v>
      </c>
      <c r="B21" s="1" t="s">
        <v>2</v>
      </c>
      <c r="C21" s="1" t="s">
        <v>6</v>
      </c>
      <c r="D21" s="4">
        <v>0.20983750000000001</v>
      </c>
      <c r="E21" s="1">
        <v>5.0000000000000001E-3</v>
      </c>
      <c r="F21" s="4">
        <f t="shared" si="0"/>
        <v>0.20483750000000001</v>
      </c>
      <c r="G21" s="1">
        <f t="shared" si="1"/>
        <v>8.8194318749999994</v>
      </c>
    </row>
    <row r="22" spans="1:7">
      <c r="A22" s="1" t="s">
        <v>35</v>
      </c>
      <c r="B22" s="1" t="s">
        <v>2</v>
      </c>
      <c r="C22" s="1" t="s">
        <v>7</v>
      </c>
      <c r="D22" s="4">
        <v>0.26353749999999998</v>
      </c>
      <c r="E22" s="1">
        <v>5.0000000000000001E-3</v>
      </c>
      <c r="F22" s="4">
        <f t="shared" si="0"/>
        <v>0.25853749999999998</v>
      </c>
      <c r="G22" s="1">
        <f t="shared" si="1"/>
        <v>11.124772875</v>
      </c>
    </row>
    <row r="23" spans="1:7">
      <c r="A23" s="1" t="s">
        <v>35</v>
      </c>
      <c r="B23" s="1" t="s">
        <v>2</v>
      </c>
      <c r="C23" s="1" t="s">
        <v>9</v>
      </c>
      <c r="D23" s="4">
        <v>0.17973749999999999</v>
      </c>
      <c r="E23" s="1">
        <v>5.0000000000000001E-3</v>
      </c>
      <c r="F23" s="4">
        <f t="shared" si="0"/>
        <v>0.17473749999999999</v>
      </c>
      <c r="G23" s="1">
        <f t="shared" si="1"/>
        <v>7.5272388750000001</v>
      </c>
    </row>
    <row r="24" spans="1:7">
      <c r="A24" s="1" t="s">
        <v>35</v>
      </c>
      <c r="B24" s="1" t="s">
        <v>2</v>
      </c>
      <c r="C24" s="1" t="s">
        <v>10</v>
      </c>
      <c r="D24" s="4">
        <v>0.22673750000000001</v>
      </c>
      <c r="E24" s="1">
        <v>5.0000000000000001E-3</v>
      </c>
      <c r="F24" s="4">
        <f t="shared" si="0"/>
        <v>0.2217375</v>
      </c>
      <c r="G24" s="1">
        <f t="shared" si="1"/>
        <v>9.5449488750000011</v>
      </c>
    </row>
    <row r="25" spans="1:7">
      <c r="A25" s="1" t="s">
        <v>35</v>
      </c>
      <c r="B25" s="1" t="s">
        <v>2</v>
      </c>
      <c r="C25" s="1" t="s">
        <v>11</v>
      </c>
      <c r="D25" s="4">
        <v>0.21653749999999999</v>
      </c>
      <c r="E25" s="1">
        <v>5.0000000000000001E-3</v>
      </c>
      <c r="F25" s="4">
        <f t="shared" si="0"/>
        <v>0.21153749999999999</v>
      </c>
      <c r="G25" s="1">
        <f t="shared" si="1"/>
        <v>9.1070628749999987</v>
      </c>
    </row>
    <row r="26" spans="1:7">
      <c r="A26" s="1" t="s">
        <v>35</v>
      </c>
      <c r="B26" s="1" t="s">
        <v>2</v>
      </c>
      <c r="C26" s="1" t="s">
        <v>13</v>
      </c>
      <c r="D26" s="4">
        <v>0.29213749999999999</v>
      </c>
      <c r="E26" s="1">
        <v>5.0000000000000001E-3</v>
      </c>
      <c r="F26" s="4">
        <f t="shared" si="0"/>
        <v>0.28713749999999999</v>
      </c>
      <c r="G26" s="1">
        <f t="shared" si="1"/>
        <v>12.352570875</v>
      </c>
    </row>
    <row r="27" spans="1:7">
      <c r="A27" s="1" t="s">
        <v>35</v>
      </c>
      <c r="B27" s="1" t="s">
        <v>2</v>
      </c>
      <c r="C27" s="1" t="s">
        <v>14</v>
      </c>
      <c r="D27" s="4">
        <v>0.28783750000000002</v>
      </c>
      <c r="E27" s="1">
        <v>5.0000000000000001E-3</v>
      </c>
      <c r="F27" s="4">
        <f t="shared" si="0"/>
        <v>0.28283750000000002</v>
      </c>
      <c r="G27" s="1">
        <f t="shared" si="1"/>
        <v>12.167971874999999</v>
      </c>
    </row>
    <row r="28" spans="1:7">
      <c r="A28" s="1" t="s">
        <v>35</v>
      </c>
      <c r="B28" s="1" t="s">
        <v>2</v>
      </c>
      <c r="C28" s="1" t="s">
        <v>15</v>
      </c>
      <c r="D28" s="4">
        <v>0.29423749999999999</v>
      </c>
      <c r="E28" s="1">
        <v>5.0000000000000001E-3</v>
      </c>
      <c r="F28" s="4">
        <f t="shared" si="0"/>
        <v>0.28923749999999998</v>
      </c>
      <c r="G28" s="1">
        <f t="shared" si="1"/>
        <v>12.442723874999997</v>
      </c>
    </row>
    <row r="29" spans="1:7">
      <c r="A29" s="1" t="s">
        <v>35</v>
      </c>
      <c r="B29" s="1" t="s">
        <v>2</v>
      </c>
      <c r="C29" s="1" t="s">
        <v>17</v>
      </c>
      <c r="D29" s="4">
        <v>0.2598375</v>
      </c>
      <c r="E29" s="1">
        <v>5.0000000000000001E-3</v>
      </c>
      <c r="F29" s="4">
        <f t="shared" si="0"/>
        <v>0.25483749999999999</v>
      </c>
      <c r="G29" s="1">
        <f t="shared" si="1"/>
        <v>10.965931875000001</v>
      </c>
    </row>
    <row r="30" spans="1:7">
      <c r="A30" s="1" t="s">
        <v>35</v>
      </c>
      <c r="B30" s="1" t="s">
        <v>2</v>
      </c>
      <c r="C30" s="1" t="s">
        <v>18</v>
      </c>
      <c r="D30" s="4">
        <v>0.29223749999999998</v>
      </c>
      <c r="E30" s="1">
        <v>5.0000000000000001E-3</v>
      </c>
      <c r="F30" s="4">
        <f t="shared" si="0"/>
        <v>0.28723749999999998</v>
      </c>
      <c r="G30" s="1">
        <f t="shared" si="1"/>
        <v>12.356863875</v>
      </c>
    </row>
    <row r="31" spans="1:7">
      <c r="A31" s="1" t="s">
        <v>35</v>
      </c>
      <c r="B31" s="1" t="s">
        <v>2</v>
      </c>
      <c r="C31" s="1" t="s">
        <v>19</v>
      </c>
      <c r="D31" s="4">
        <v>0.28423749999999998</v>
      </c>
      <c r="E31" s="1">
        <v>5.0000000000000001E-3</v>
      </c>
      <c r="F31" s="4">
        <f t="shared" si="0"/>
        <v>0.27923749999999997</v>
      </c>
      <c r="G31" s="1">
        <f t="shared" si="1"/>
        <v>12.013423874999999</v>
      </c>
    </row>
    <row r="32" spans="1:7">
      <c r="A32" s="1" t="s">
        <v>35</v>
      </c>
      <c r="B32" s="1" t="s">
        <v>2</v>
      </c>
      <c r="C32" s="1" t="s">
        <v>21</v>
      </c>
      <c r="D32" s="4">
        <v>0.2414375</v>
      </c>
      <c r="E32" s="1">
        <v>5.0000000000000001E-3</v>
      </c>
      <c r="F32" s="4">
        <f t="shared" si="0"/>
        <v>0.23643749999999999</v>
      </c>
      <c r="G32" s="1">
        <f t="shared" si="1"/>
        <v>10.176019875</v>
      </c>
    </row>
    <row r="33" spans="1:7">
      <c r="A33" s="1" t="s">
        <v>35</v>
      </c>
      <c r="B33" s="1" t="s">
        <v>2</v>
      </c>
      <c r="C33" s="1" t="s">
        <v>22</v>
      </c>
      <c r="D33" s="4">
        <v>0.17753749999999999</v>
      </c>
      <c r="E33" s="1">
        <v>5.0000000000000001E-3</v>
      </c>
      <c r="F33" s="4">
        <f t="shared" si="0"/>
        <v>0.17253749999999998</v>
      </c>
      <c r="G33" s="1">
        <f t="shared" si="1"/>
        <v>7.4327928749999996</v>
      </c>
    </row>
    <row r="34" spans="1:7">
      <c r="A34" s="1" t="s">
        <v>35</v>
      </c>
      <c r="B34" s="1" t="s">
        <v>2</v>
      </c>
      <c r="C34" s="1" t="s">
        <v>23</v>
      </c>
      <c r="D34" s="4">
        <v>0.1895375</v>
      </c>
      <c r="E34" s="1">
        <v>5.0000000000000001E-3</v>
      </c>
      <c r="F34" s="4">
        <f t="shared" si="0"/>
        <v>0.18453749999999999</v>
      </c>
      <c r="G34" s="1">
        <f t="shared" si="1"/>
        <v>7.9479528749999995</v>
      </c>
    </row>
    <row r="35" spans="1:7">
      <c r="A35" s="1" t="s">
        <v>35</v>
      </c>
      <c r="B35" s="1" t="s">
        <v>2</v>
      </c>
      <c r="C35" s="1" t="s">
        <v>25</v>
      </c>
      <c r="D35" s="4">
        <v>0.2248375</v>
      </c>
      <c r="E35" s="1">
        <v>5.0000000000000001E-3</v>
      </c>
      <c r="F35" s="4">
        <f t="shared" si="0"/>
        <v>0.21983749999999999</v>
      </c>
      <c r="G35" s="1">
        <f t="shared" si="1"/>
        <v>9.4633818749999978</v>
      </c>
    </row>
    <row r="36" spans="1:7">
      <c r="A36" s="1" t="s">
        <v>35</v>
      </c>
      <c r="B36" s="1" t="s">
        <v>2</v>
      </c>
      <c r="C36" s="1" t="s">
        <v>26</v>
      </c>
      <c r="D36" s="4">
        <v>0.19273750000000001</v>
      </c>
      <c r="E36" s="1">
        <v>5.0000000000000001E-3</v>
      </c>
      <c r="F36" s="4">
        <f t="shared" si="0"/>
        <v>0.1877375</v>
      </c>
      <c r="G36" s="1">
        <f t="shared" si="1"/>
        <v>8.0853288750000001</v>
      </c>
    </row>
    <row r="37" spans="1:7">
      <c r="A37" s="1" t="s">
        <v>35</v>
      </c>
      <c r="B37" s="1" t="s">
        <v>2</v>
      </c>
      <c r="C37" s="1" t="s">
        <v>27</v>
      </c>
      <c r="D37" s="4">
        <v>0.2648375</v>
      </c>
      <c r="E37" s="1">
        <v>5.0000000000000001E-3</v>
      </c>
      <c r="F37" s="4">
        <f t="shared" si="0"/>
        <v>0.2598375</v>
      </c>
      <c r="G37" s="1">
        <f t="shared" si="1"/>
        <v>11.180581875</v>
      </c>
    </row>
    <row r="38" spans="1:7">
      <c r="A38" s="1" t="s">
        <v>35</v>
      </c>
      <c r="B38" s="1" t="s">
        <v>29</v>
      </c>
      <c r="C38" s="1" t="s">
        <v>5</v>
      </c>
      <c r="D38" s="4">
        <v>0.25274166666666698</v>
      </c>
      <c r="E38" s="1">
        <v>5.0000000000000001E-3</v>
      </c>
      <c r="F38" s="4">
        <f t="shared" si="0"/>
        <v>0.24774166666666697</v>
      </c>
      <c r="G38" s="1">
        <f t="shared" si="1"/>
        <v>10.661307750000013</v>
      </c>
    </row>
    <row r="39" spans="1:7">
      <c r="A39" s="1" t="s">
        <v>35</v>
      </c>
      <c r="B39" s="1" t="s">
        <v>29</v>
      </c>
      <c r="C39" s="1" t="s">
        <v>6</v>
      </c>
      <c r="D39" s="4">
        <v>0.32704166666666701</v>
      </c>
      <c r="E39" s="1">
        <v>5.0000000000000001E-3</v>
      </c>
      <c r="F39" s="4">
        <f t="shared" si="0"/>
        <v>0.322041666666667</v>
      </c>
      <c r="G39" s="1">
        <f t="shared" si="1"/>
        <v>13.851006750000014</v>
      </c>
    </row>
    <row r="40" spans="1:7">
      <c r="A40" s="1" t="s">
        <v>35</v>
      </c>
      <c r="B40" s="1" t="s">
        <v>29</v>
      </c>
      <c r="C40" s="1" t="s">
        <v>7</v>
      </c>
      <c r="D40" s="4">
        <v>0.28334166666666699</v>
      </c>
      <c r="E40" s="1">
        <v>5.0000000000000001E-3</v>
      </c>
      <c r="F40" s="4">
        <f t="shared" si="0"/>
        <v>0.27834166666666699</v>
      </c>
      <c r="G40" s="1">
        <f t="shared" si="1"/>
        <v>11.974965750000013</v>
      </c>
    </row>
    <row r="41" spans="1:7">
      <c r="A41" s="1" t="s">
        <v>35</v>
      </c>
      <c r="B41" s="1" t="s">
        <v>29</v>
      </c>
      <c r="C41" s="1" t="s">
        <v>9</v>
      </c>
      <c r="D41" s="4">
        <v>0.20934166666666701</v>
      </c>
      <c r="E41" s="1">
        <v>5.0000000000000001E-3</v>
      </c>
      <c r="F41" s="4">
        <f t="shared" si="0"/>
        <v>0.204341666666667</v>
      </c>
      <c r="G41" s="1">
        <f t="shared" si="1"/>
        <v>8.798145750000014</v>
      </c>
    </row>
    <row r="42" spans="1:7">
      <c r="A42" s="1" t="s">
        <v>35</v>
      </c>
      <c r="B42" s="1" t="s">
        <v>29</v>
      </c>
      <c r="C42" s="1" t="s">
        <v>10</v>
      </c>
      <c r="D42" s="4">
        <v>0.229541666666667</v>
      </c>
      <c r="E42" s="1">
        <v>5.0000000000000001E-3</v>
      </c>
      <c r="F42" s="4">
        <f t="shared" si="0"/>
        <v>0.224541666666667</v>
      </c>
      <c r="G42" s="1">
        <f t="shared" si="1"/>
        <v>9.6653317500000142</v>
      </c>
    </row>
    <row r="43" spans="1:7">
      <c r="A43" s="1" t="s">
        <v>35</v>
      </c>
      <c r="B43" s="1" t="s">
        <v>29</v>
      </c>
      <c r="C43" s="1" t="s">
        <v>11</v>
      </c>
      <c r="D43" s="4">
        <v>0.23304166666666701</v>
      </c>
      <c r="E43" s="1">
        <v>5.0000000000000001E-3</v>
      </c>
      <c r="F43" s="4">
        <f t="shared" si="0"/>
        <v>0.228041666666667</v>
      </c>
      <c r="G43" s="1">
        <f t="shared" si="1"/>
        <v>9.8155867500000156</v>
      </c>
    </row>
    <row r="44" spans="1:7">
      <c r="A44" s="1" t="s">
        <v>35</v>
      </c>
      <c r="B44" s="1" t="s">
        <v>29</v>
      </c>
      <c r="C44" s="1" t="s">
        <v>13</v>
      </c>
      <c r="D44" s="4">
        <v>0.25824166666666698</v>
      </c>
      <c r="E44" s="1">
        <v>5.0000000000000001E-3</v>
      </c>
      <c r="F44" s="4">
        <f t="shared" si="0"/>
        <v>0.25324166666666698</v>
      </c>
      <c r="G44" s="1">
        <f t="shared" si="1"/>
        <v>10.897422750000013</v>
      </c>
    </row>
    <row r="45" spans="1:7">
      <c r="A45" s="1" t="s">
        <v>35</v>
      </c>
      <c r="B45" s="1" t="s">
        <v>29</v>
      </c>
      <c r="C45" s="1" t="s">
        <v>14</v>
      </c>
      <c r="D45" s="4">
        <v>0.25184166666666702</v>
      </c>
      <c r="E45" s="1">
        <v>5.0000000000000001E-3</v>
      </c>
      <c r="F45" s="4">
        <f t="shared" si="0"/>
        <v>0.24684166666666701</v>
      </c>
      <c r="G45" s="1">
        <f t="shared" si="1"/>
        <v>10.622670750000013</v>
      </c>
    </row>
    <row r="46" spans="1:7">
      <c r="A46" s="1" t="s">
        <v>35</v>
      </c>
      <c r="B46" s="1" t="s">
        <v>29</v>
      </c>
      <c r="C46" s="1" t="s">
        <v>15</v>
      </c>
      <c r="D46" s="4">
        <v>0.20394166666666699</v>
      </c>
      <c r="E46" s="1">
        <v>5.0000000000000001E-3</v>
      </c>
      <c r="F46" s="4">
        <f t="shared" si="0"/>
        <v>0.19894166666666699</v>
      </c>
      <c r="G46" s="1">
        <f t="shared" si="1"/>
        <v>8.5663237500000147</v>
      </c>
    </row>
    <row r="47" spans="1:7">
      <c r="A47" s="1" t="s">
        <v>35</v>
      </c>
      <c r="B47" s="1" t="s">
        <v>29</v>
      </c>
      <c r="C47" s="1" t="s">
        <v>17</v>
      </c>
      <c r="D47" s="4">
        <v>0.26224166666666698</v>
      </c>
      <c r="E47" s="1">
        <v>5.0000000000000001E-3</v>
      </c>
      <c r="F47" s="4">
        <f t="shared" si="0"/>
        <v>0.25724166666666698</v>
      </c>
      <c r="G47" s="1">
        <f t="shared" si="1"/>
        <v>11.069142750000013</v>
      </c>
    </row>
    <row r="48" spans="1:7">
      <c r="A48" s="1" t="s">
        <v>35</v>
      </c>
      <c r="B48" s="1" t="s">
        <v>29</v>
      </c>
      <c r="C48" s="1" t="s">
        <v>18</v>
      </c>
      <c r="D48" s="4">
        <v>0.34254166666666702</v>
      </c>
      <c r="E48" s="1">
        <v>5.0000000000000001E-3</v>
      </c>
      <c r="F48" s="4">
        <f t="shared" si="0"/>
        <v>0.33754166666666702</v>
      </c>
      <c r="G48" s="1">
        <f t="shared" si="1"/>
        <v>14.516421750000017</v>
      </c>
    </row>
    <row r="49" spans="1:7">
      <c r="A49" s="1" t="s">
        <v>35</v>
      </c>
      <c r="B49" s="1" t="s">
        <v>29</v>
      </c>
      <c r="C49" s="1" t="s">
        <v>19</v>
      </c>
      <c r="D49" s="4">
        <v>0.31764166666666699</v>
      </c>
      <c r="E49" s="1">
        <v>5.0000000000000001E-3</v>
      </c>
      <c r="F49" s="4">
        <f t="shared" si="0"/>
        <v>0.31264166666666698</v>
      </c>
      <c r="G49" s="1">
        <f t="shared" si="1"/>
        <v>13.447464750000012</v>
      </c>
    </row>
    <row r="50" spans="1:7">
      <c r="A50" s="1" t="s">
        <v>35</v>
      </c>
      <c r="B50" s="1" t="s">
        <v>29</v>
      </c>
      <c r="C50" s="1" t="s">
        <v>21</v>
      </c>
      <c r="D50" s="4">
        <v>0.253041666666667</v>
      </c>
      <c r="E50" s="1">
        <v>5.0000000000000001E-3</v>
      </c>
      <c r="F50" s="4">
        <f t="shared" si="0"/>
        <v>0.24804166666666699</v>
      </c>
      <c r="G50" s="1">
        <f t="shared" si="1"/>
        <v>10.674186750000015</v>
      </c>
    </row>
    <row r="51" spans="1:7">
      <c r="A51" s="1" t="s">
        <v>35</v>
      </c>
      <c r="B51" s="1" t="s">
        <v>29</v>
      </c>
      <c r="C51" s="1" t="s">
        <v>22</v>
      </c>
      <c r="D51" s="4">
        <v>0.29354166666666698</v>
      </c>
      <c r="E51" s="1">
        <v>5.0000000000000001E-3</v>
      </c>
      <c r="F51" s="4">
        <f t="shared" si="0"/>
        <v>0.28854166666666697</v>
      </c>
      <c r="G51" s="1">
        <f t="shared" si="1"/>
        <v>12.412851750000012</v>
      </c>
    </row>
    <row r="52" spans="1:7">
      <c r="A52" s="1" t="s">
        <v>35</v>
      </c>
      <c r="B52" s="1" t="s">
        <v>29</v>
      </c>
      <c r="C52" s="1" t="s">
        <v>23</v>
      </c>
      <c r="D52" s="4">
        <v>0.24734166666666699</v>
      </c>
      <c r="E52" s="1">
        <v>5.0000000000000001E-3</v>
      </c>
      <c r="F52" s="4">
        <f t="shared" si="0"/>
        <v>0.24234166666666698</v>
      </c>
      <c r="G52" s="1">
        <f t="shared" si="1"/>
        <v>10.429485750000012</v>
      </c>
    </row>
    <row r="53" spans="1:7">
      <c r="A53" s="1" t="s">
        <v>35</v>
      </c>
      <c r="B53" s="1" t="s">
        <v>29</v>
      </c>
      <c r="C53" s="1" t="s">
        <v>25</v>
      </c>
      <c r="D53" s="4">
        <v>0.210641666666667</v>
      </c>
      <c r="E53" s="1">
        <v>5.0000000000000001E-3</v>
      </c>
      <c r="F53" s="4">
        <f t="shared" si="0"/>
        <v>0.205641666666667</v>
      </c>
      <c r="G53" s="1">
        <f t="shared" si="1"/>
        <v>8.853954750000014</v>
      </c>
    </row>
    <row r="54" spans="1:7">
      <c r="A54" s="1" t="s">
        <v>35</v>
      </c>
      <c r="B54" s="1" t="s">
        <v>29</v>
      </c>
      <c r="C54" s="1" t="s">
        <v>26</v>
      </c>
      <c r="D54" s="4">
        <v>0.24434166666666701</v>
      </c>
      <c r="E54" s="1">
        <v>5.0000000000000001E-3</v>
      </c>
      <c r="F54" s="4">
        <f t="shared" si="0"/>
        <v>0.23934166666666701</v>
      </c>
      <c r="G54" s="1">
        <f t="shared" si="1"/>
        <v>10.300695750000015</v>
      </c>
    </row>
    <row r="55" spans="1:7">
      <c r="A55" s="1" t="s">
        <v>35</v>
      </c>
      <c r="B55" s="1" t="s">
        <v>29</v>
      </c>
      <c r="C55" s="1" t="s">
        <v>27</v>
      </c>
      <c r="D55" s="4">
        <v>0.27054166666666701</v>
      </c>
      <c r="E55" s="1">
        <v>5.0000000000000001E-3</v>
      </c>
      <c r="F55" s="4">
        <f t="shared" si="0"/>
        <v>0.26554166666666701</v>
      </c>
      <c r="G55" s="1">
        <f t="shared" si="1"/>
        <v>11.425461750000014</v>
      </c>
    </row>
    <row r="56" spans="1:7">
      <c r="A56" s="1" t="s">
        <v>35</v>
      </c>
      <c r="B56" s="1" t="s">
        <v>30</v>
      </c>
      <c r="C56" s="1" t="s">
        <v>5</v>
      </c>
      <c r="D56" s="4">
        <v>0.26894166666666702</v>
      </c>
      <c r="E56" s="1">
        <v>5.0000000000000001E-3</v>
      </c>
      <c r="F56" s="4">
        <f t="shared" si="0"/>
        <v>0.26394166666666702</v>
      </c>
      <c r="G56" s="1">
        <f t="shared" si="1"/>
        <v>11.356773750000015</v>
      </c>
    </row>
    <row r="57" spans="1:7">
      <c r="A57" s="1" t="s">
        <v>35</v>
      </c>
      <c r="B57" s="1" t="s">
        <v>30</v>
      </c>
      <c r="C57" s="1" t="s">
        <v>6</v>
      </c>
      <c r="D57" s="4">
        <v>0.32904166666666701</v>
      </c>
      <c r="E57" s="1">
        <v>5.0000000000000001E-3</v>
      </c>
      <c r="F57" s="4">
        <f t="shared" si="0"/>
        <v>0.32404166666666701</v>
      </c>
      <c r="G57" s="1">
        <f t="shared" si="1"/>
        <v>13.936866750000014</v>
      </c>
    </row>
    <row r="58" spans="1:7">
      <c r="A58" s="1" t="s">
        <v>35</v>
      </c>
      <c r="B58" s="1" t="s">
        <v>30</v>
      </c>
      <c r="C58" s="1" t="s">
        <v>7</v>
      </c>
      <c r="D58" s="4">
        <v>0.26164166666666699</v>
      </c>
      <c r="E58" s="1">
        <v>5.0000000000000001E-3</v>
      </c>
      <c r="F58" s="4">
        <f t="shared" si="0"/>
        <v>0.25664166666666699</v>
      </c>
      <c r="G58" s="1">
        <f t="shared" si="1"/>
        <v>11.043384750000016</v>
      </c>
    </row>
    <row r="59" spans="1:7">
      <c r="A59" s="1" t="s">
        <v>35</v>
      </c>
      <c r="B59" s="1" t="s">
        <v>30</v>
      </c>
      <c r="C59" s="1" t="s">
        <v>9</v>
      </c>
      <c r="D59" s="4">
        <v>0.27424166666666699</v>
      </c>
      <c r="E59" s="1">
        <v>5.0000000000000001E-3</v>
      </c>
      <c r="F59" s="4">
        <f t="shared" si="0"/>
        <v>0.26924166666666699</v>
      </c>
      <c r="G59" s="1">
        <f t="shared" si="1"/>
        <v>11.584302750000013</v>
      </c>
    </row>
    <row r="60" spans="1:7">
      <c r="A60" s="1" t="s">
        <v>35</v>
      </c>
      <c r="B60" s="1" t="s">
        <v>30</v>
      </c>
      <c r="C60" s="1" t="s">
        <v>10</v>
      </c>
      <c r="D60" s="4">
        <v>0.25024166666666697</v>
      </c>
      <c r="E60" s="1">
        <v>5.0000000000000001E-3</v>
      </c>
      <c r="F60" s="4">
        <f t="shared" si="0"/>
        <v>0.24524166666666697</v>
      </c>
      <c r="G60" s="1">
        <f t="shared" si="1"/>
        <v>10.553982750000012</v>
      </c>
    </row>
    <row r="61" spans="1:7">
      <c r="A61" s="1" t="s">
        <v>35</v>
      </c>
      <c r="B61" s="1" t="s">
        <v>30</v>
      </c>
      <c r="C61" s="1" t="s">
        <v>11</v>
      </c>
      <c r="D61" s="4">
        <v>0.22344166666666701</v>
      </c>
      <c r="E61" s="1">
        <v>5.0000000000000001E-3</v>
      </c>
      <c r="F61" s="4">
        <f t="shared" si="0"/>
        <v>0.21844166666666701</v>
      </c>
      <c r="G61" s="1">
        <f t="shared" si="1"/>
        <v>9.4034587500000146</v>
      </c>
    </row>
    <row r="62" spans="1:7">
      <c r="A62" s="1" t="s">
        <v>35</v>
      </c>
      <c r="B62" s="1" t="s">
        <v>30</v>
      </c>
      <c r="C62" s="1" t="s">
        <v>13</v>
      </c>
      <c r="D62" s="4">
        <v>0.26074166666666698</v>
      </c>
      <c r="E62" s="1">
        <v>5.0000000000000001E-3</v>
      </c>
      <c r="F62" s="4">
        <f t="shared" si="0"/>
        <v>0.25574166666666698</v>
      </c>
      <c r="G62" s="1">
        <f t="shared" si="1"/>
        <v>11.004747750000012</v>
      </c>
    </row>
    <row r="63" spans="1:7">
      <c r="A63" s="1" t="s">
        <v>35</v>
      </c>
      <c r="B63" s="1" t="s">
        <v>30</v>
      </c>
      <c r="C63" s="1" t="s">
        <v>14</v>
      </c>
      <c r="D63" s="4">
        <v>0.31414166666666699</v>
      </c>
      <c r="E63" s="1">
        <v>5.0000000000000001E-3</v>
      </c>
      <c r="F63" s="4">
        <f t="shared" si="0"/>
        <v>0.30914166666666698</v>
      </c>
      <c r="G63" s="1">
        <f t="shared" si="1"/>
        <v>13.297209750000013</v>
      </c>
    </row>
    <row r="64" spans="1:7">
      <c r="A64" s="1" t="s">
        <v>35</v>
      </c>
      <c r="B64" s="1" t="s">
        <v>30</v>
      </c>
      <c r="C64" s="1" t="s">
        <v>15</v>
      </c>
      <c r="D64" s="4">
        <v>0.27664166666666701</v>
      </c>
      <c r="E64" s="1">
        <v>5.0000000000000001E-3</v>
      </c>
      <c r="F64" s="4">
        <f t="shared" si="0"/>
        <v>0.271641666666667</v>
      </c>
      <c r="G64" s="1">
        <f t="shared" si="1"/>
        <v>11.687334750000014</v>
      </c>
    </row>
    <row r="65" spans="1:7">
      <c r="A65" s="1" t="s">
        <v>35</v>
      </c>
      <c r="B65" s="1" t="s">
        <v>30</v>
      </c>
      <c r="C65" s="1" t="s">
        <v>17</v>
      </c>
      <c r="D65" s="4">
        <v>0.29354166666666698</v>
      </c>
      <c r="E65" s="1">
        <v>5.0000000000000001E-3</v>
      </c>
      <c r="F65" s="4">
        <f t="shared" si="0"/>
        <v>0.28854166666666697</v>
      </c>
      <c r="G65" s="1">
        <f t="shared" si="1"/>
        <v>12.412851750000012</v>
      </c>
    </row>
    <row r="66" spans="1:7">
      <c r="A66" s="1" t="s">
        <v>35</v>
      </c>
      <c r="B66" s="1" t="s">
        <v>30</v>
      </c>
      <c r="C66" s="1" t="s">
        <v>18</v>
      </c>
      <c r="D66" s="4">
        <v>0.228341666666667</v>
      </c>
      <c r="E66" s="1">
        <v>5.0000000000000001E-3</v>
      </c>
      <c r="F66" s="4">
        <f t="shared" si="0"/>
        <v>0.22334166666666699</v>
      </c>
      <c r="G66" s="1">
        <f t="shared" si="1"/>
        <v>9.613815750000013</v>
      </c>
    </row>
    <row r="67" spans="1:7">
      <c r="A67" s="1" t="s">
        <v>35</v>
      </c>
      <c r="B67" s="1" t="s">
        <v>30</v>
      </c>
      <c r="C67" s="1" t="s">
        <v>19</v>
      </c>
      <c r="D67" s="4">
        <v>0.213441666666667</v>
      </c>
      <c r="E67" s="1">
        <v>5.0000000000000001E-3</v>
      </c>
      <c r="F67" s="4">
        <f t="shared" ref="F67:F130" si="2">D67-E67</f>
        <v>0.208441666666667</v>
      </c>
      <c r="G67" s="1">
        <f t="shared" ref="G67:G130" si="3">0.2862*(F67+0.0006)*1.5/0.01</f>
        <v>8.9741587500000133</v>
      </c>
    </row>
    <row r="68" spans="1:7">
      <c r="A68" s="1" t="s">
        <v>35</v>
      </c>
      <c r="B68" s="1" t="s">
        <v>30</v>
      </c>
      <c r="C68" s="1" t="s">
        <v>21</v>
      </c>
      <c r="D68" s="4">
        <v>0.26424166666666699</v>
      </c>
      <c r="E68" s="1">
        <v>5.0000000000000001E-3</v>
      </c>
      <c r="F68" s="4">
        <f t="shared" si="2"/>
        <v>0.25924166666666698</v>
      </c>
      <c r="G68" s="1">
        <f t="shared" si="3"/>
        <v>11.155002750000012</v>
      </c>
    </row>
    <row r="69" spans="1:7">
      <c r="A69" s="1" t="s">
        <v>35</v>
      </c>
      <c r="B69" s="1" t="s">
        <v>30</v>
      </c>
      <c r="C69" s="1" t="s">
        <v>22</v>
      </c>
      <c r="D69" s="4">
        <v>0.26654166666666701</v>
      </c>
      <c r="E69" s="1">
        <v>5.0000000000000001E-3</v>
      </c>
      <c r="F69" s="4">
        <f t="shared" si="2"/>
        <v>0.26154166666666701</v>
      </c>
      <c r="G69" s="1">
        <f t="shared" si="3"/>
        <v>11.253741750000014</v>
      </c>
    </row>
    <row r="70" spans="1:7">
      <c r="A70" s="1" t="s">
        <v>35</v>
      </c>
      <c r="B70" s="1" t="s">
        <v>30</v>
      </c>
      <c r="C70" s="1" t="s">
        <v>23</v>
      </c>
      <c r="D70" s="4">
        <v>0.27884166666666699</v>
      </c>
      <c r="E70" s="1">
        <v>5.0000000000000001E-3</v>
      </c>
      <c r="F70" s="4">
        <f t="shared" si="2"/>
        <v>0.27384166666666698</v>
      </c>
      <c r="G70" s="1">
        <f t="shared" si="3"/>
        <v>11.781780750000014</v>
      </c>
    </row>
    <row r="71" spans="1:7">
      <c r="A71" s="1" t="s">
        <v>35</v>
      </c>
      <c r="B71" s="1" t="s">
        <v>30</v>
      </c>
      <c r="C71" s="1" t="s">
        <v>25</v>
      </c>
      <c r="D71" s="4">
        <v>0.295341666666667</v>
      </c>
      <c r="E71" s="1">
        <v>5.0000000000000001E-3</v>
      </c>
      <c r="F71" s="4">
        <f t="shared" si="2"/>
        <v>0.290341666666667</v>
      </c>
      <c r="G71" s="1">
        <f t="shared" si="3"/>
        <v>12.490125750000013</v>
      </c>
    </row>
    <row r="72" spans="1:7">
      <c r="A72" s="1" t="s">
        <v>35</v>
      </c>
      <c r="B72" s="1" t="s">
        <v>30</v>
      </c>
      <c r="C72" s="1" t="s">
        <v>26</v>
      </c>
      <c r="D72" s="4">
        <v>0.30964166666666698</v>
      </c>
      <c r="E72" s="1">
        <v>5.0000000000000001E-3</v>
      </c>
      <c r="F72" s="4">
        <f t="shared" si="2"/>
        <v>0.30464166666666698</v>
      </c>
      <c r="G72" s="1">
        <f t="shared" si="3"/>
        <v>13.104024750000011</v>
      </c>
    </row>
    <row r="73" spans="1:7">
      <c r="A73" s="1" t="s">
        <v>35</v>
      </c>
      <c r="B73" s="1" t="s">
        <v>30</v>
      </c>
      <c r="C73" s="1" t="s">
        <v>27</v>
      </c>
      <c r="D73" s="4">
        <v>0.29674166666666701</v>
      </c>
      <c r="E73" s="1">
        <v>5.0000000000000001E-3</v>
      </c>
      <c r="F73" s="4">
        <f t="shared" si="2"/>
        <v>0.29174166666666701</v>
      </c>
      <c r="G73" s="1">
        <f t="shared" si="3"/>
        <v>12.550227750000014</v>
      </c>
    </row>
    <row r="74" spans="1:7">
      <c r="A74" s="1" t="s">
        <v>35</v>
      </c>
      <c r="B74" s="1" t="s">
        <v>31</v>
      </c>
      <c r="C74" s="1" t="s">
        <v>5</v>
      </c>
      <c r="D74" s="4">
        <v>0.3197875</v>
      </c>
      <c r="E74" s="1">
        <v>5.0000000000000001E-3</v>
      </c>
      <c r="F74" s="4">
        <f t="shared" si="2"/>
        <v>0.3147875</v>
      </c>
      <c r="G74" s="1">
        <f t="shared" si="3"/>
        <v>13.539585374999998</v>
      </c>
    </row>
    <row r="75" spans="1:7">
      <c r="A75" s="1" t="s">
        <v>35</v>
      </c>
      <c r="B75" s="1" t="s">
        <v>31</v>
      </c>
      <c r="C75" s="1" t="s">
        <v>6</v>
      </c>
      <c r="D75" s="4">
        <v>0.27788750000000001</v>
      </c>
      <c r="E75" s="1">
        <v>5.0000000000000001E-3</v>
      </c>
      <c r="F75" s="4">
        <f t="shared" si="2"/>
        <v>0.27288750000000001</v>
      </c>
      <c r="G75" s="1">
        <f t="shared" si="3"/>
        <v>11.740818375</v>
      </c>
    </row>
    <row r="76" spans="1:7">
      <c r="A76" s="1" t="s">
        <v>35</v>
      </c>
      <c r="B76" s="1" t="s">
        <v>31</v>
      </c>
      <c r="C76" s="1" t="s">
        <v>7</v>
      </c>
      <c r="D76" s="4">
        <v>0.3001875</v>
      </c>
      <c r="E76" s="1">
        <v>5.0000000000000001E-3</v>
      </c>
      <c r="F76" s="4">
        <f t="shared" si="2"/>
        <v>0.29518749999999999</v>
      </c>
      <c r="G76" s="1">
        <f t="shared" si="3"/>
        <v>12.698157374999999</v>
      </c>
    </row>
    <row r="77" spans="1:7">
      <c r="A77" s="1" t="s">
        <v>35</v>
      </c>
      <c r="B77" s="1" t="s">
        <v>31</v>
      </c>
      <c r="C77" s="1" t="s">
        <v>9</v>
      </c>
      <c r="D77" s="4">
        <v>0.33308749999999998</v>
      </c>
      <c r="E77" s="1">
        <v>5.0000000000000001E-3</v>
      </c>
      <c r="F77" s="4">
        <f t="shared" si="2"/>
        <v>0.32808749999999998</v>
      </c>
      <c r="G77" s="1">
        <f t="shared" si="3"/>
        <v>14.110554374999998</v>
      </c>
    </row>
    <row r="78" spans="1:7">
      <c r="A78" s="1" t="s">
        <v>35</v>
      </c>
      <c r="B78" s="1" t="s">
        <v>31</v>
      </c>
      <c r="C78" s="1" t="s">
        <v>10</v>
      </c>
      <c r="D78" s="4">
        <v>0.3883875</v>
      </c>
      <c r="E78" s="1">
        <v>5.0000000000000001E-3</v>
      </c>
      <c r="F78" s="4">
        <f t="shared" si="2"/>
        <v>0.38338749999999999</v>
      </c>
      <c r="G78" s="1">
        <f t="shared" si="3"/>
        <v>16.484583375</v>
      </c>
    </row>
    <row r="79" spans="1:7">
      <c r="A79" s="1" t="s">
        <v>35</v>
      </c>
      <c r="B79" s="1" t="s">
        <v>31</v>
      </c>
      <c r="C79" s="1" t="s">
        <v>11</v>
      </c>
      <c r="D79" s="4">
        <v>0.32648749999999999</v>
      </c>
      <c r="E79" s="1">
        <v>5.0000000000000001E-3</v>
      </c>
      <c r="F79" s="4">
        <f t="shared" si="2"/>
        <v>0.32148749999999998</v>
      </c>
      <c r="G79" s="1">
        <f t="shared" si="3"/>
        <v>13.827216374999997</v>
      </c>
    </row>
    <row r="80" spans="1:7">
      <c r="A80" s="1" t="s">
        <v>35</v>
      </c>
      <c r="B80" s="1" t="s">
        <v>31</v>
      </c>
      <c r="C80" s="1" t="s">
        <v>13</v>
      </c>
      <c r="D80" s="4">
        <v>0.2814875</v>
      </c>
      <c r="E80" s="1">
        <v>5.0000000000000001E-3</v>
      </c>
      <c r="F80" s="4">
        <f t="shared" si="2"/>
        <v>0.2764875</v>
      </c>
      <c r="G80" s="1">
        <f t="shared" si="3"/>
        <v>11.895366374999998</v>
      </c>
    </row>
    <row r="81" spans="1:7">
      <c r="A81" s="1" t="s">
        <v>35</v>
      </c>
      <c r="B81" s="1" t="s">
        <v>31</v>
      </c>
      <c r="C81" s="1" t="s">
        <v>14</v>
      </c>
      <c r="D81" s="4">
        <v>0.3162875</v>
      </c>
      <c r="E81" s="1">
        <v>5.0000000000000001E-3</v>
      </c>
      <c r="F81" s="4">
        <f t="shared" si="2"/>
        <v>0.31128749999999999</v>
      </c>
      <c r="G81" s="1">
        <f t="shared" si="3"/>
        <v>13.389330375</v>
      </c>
    </row>
    <row r="82" spans="1:7">
      <c r="A82" s="1" t="s">
        <v>35</v>
      </c>
      <c r="B82" s="1" t="s">
        <v>31</v>
      </c>
      <c r="C82" s="1" t="s">
        <v>15</v>
      </c>
      <c r="D82" s="4">
        <v>0.34578750000000003</v>
      </c>
      <c r="E82" s="1">
        <v>5.0000000000000001E-3</v>
      </c>
      <c r="F82" s="4">
        <f t="shared" si="2"/>
        <v>0.34078750000000002</v>
      </c>
      <c r="G82" s="1">
        <f t="shared" si="3"/>
        <v>14.655765375000001</v>
      </c>
    </row>
    <row r="83" spans="1:7">
      <c r="A83" s="1" t="s">
        <v>35</v>
      </c>
      <c r="B83" s="1" t="s">
        <v>31</v>
      </c>
      <c r="C83" s="1" t="s">
        <v>17</v>
      </c>
      <c r="D83" s="4">
        <v>0.2996875</v>
      </c>
      <c r="E83" s="1">
        <v>5.0000000000000001E-3</v>
      </c>
      <c r="F83" s="4">
        <f t="shared" si="2"/>
        <v>0.29468749999999999</v>
      </c>
      <c r="G83" s="1">
        <f t="shared" si="3"/>
        <v>12.676692374999998</v>
      </c>
    </row>
    <row r="84" spans="1:7">
      <c r="A84" s="1" t="s">
        <v>35</v>
      </c>
      <c r="B84" s="1" t="s">
        <v>31</v>
      </c>
      <c r="C84" s="1" t="s">
        <v>18</v>
      </c>
      <c r="D84" s="4">
        <v>0.29288750000000002</v>
      </c>
      <c r="E84" s="1">
        <v>5.0000000000000001E-3</v>
      </c>
      <c r="F84" s="4">
        <f t="shared" si="2"/>
        <v>0.28788750000000002</v>
      </c>
      <c r="G84" s="1">
        <f t="shared" si="3"/>
        <v>12.384768375</v>
      </c>
    </row>
    <row r="85" spans="1:7">
      <c r="A85" s="1" t="s">
        <v>35</v>
      </c>
      <c r="B85" s="1" t="s">
        <v>31</v>
      </c>
      <c r="C85" s="1" t="s">
        <v>19</v>
      </c>
      <c r="D85" s="4">
        <v>0.28218749999999998</v>
      </c>
      <c r="E85" s="1">
        <v>5.0000000000000001E-3</v>
      </c>
      <c r="F85" s="4">
        <f t="shared" si="2"/>
        <v>0.27718749999999998</v>
      </c>
      <c r="G85" s="1">
        <f t="shared" si="3"/>
        <v>11.925417375</v>
      </c>
    </row>
    <row r="86" spans="1:7">
      <c r="A86" s="1" t="s">
        <v>35</v>
      </c>
      <c r="B86" s="1" t="s">
        <v>31</v>
      </c>
      <c r="C86" s="1" t="s">
        <v>21</v>
      </c>
      <c r="D86" s="4">
        <v>0.31638749999999999</v>
      </c>
      <c r="E86" s="1">
        <v>5.0000000000000001E-3</v>
      </c>
      <c r="F86" s="4">
        <f t="shared" si="2"/>
        <v>0.31138749999999998</v>
      </c>
      <c r="G86" s="1">
        <f t="shared" si="3"/>
        <v>13.393623374999999</v>
      </c>
    </row>
    <row r="87" spans="1:7">
      <c r="A87" s="1" t="s">
        <v>35</v>
      </c>
      <c r="B87" s="1" t="s">
        <v>31</v>
      </c>
      <c r="C87" s="1" t="s">
        <v>22</v>
      </c>
      <c r="D87" s="4">
        <v>0.2829875</v>
      </c>
      <c r="E87" s="1">
        <v>5.0000000000000001E-3</v>
      </c>
      <c r="F87" s="4">
        <f t="shared" si="2"/>
        <v>0.2779875</v>
      </c>
      <c r="G87" s="1">
        <f t="shared" si="3"/>
        <v>11.959761374999999</v>
      </c>
    </row>
    <row r="88" spans="1:7">
      <c r="A88" s="1" t="s">
        <v>35</v>
      </c>
      <c r="B88" s="1" t="s">
        <v>31</v>
      </c>
      <c r="C88" s="1" t="s">
        <v>23</v>
      </c>
      <c r="D88" s="4">
        <v>0.37938749999999999</v>
      </c>
      <c r="E88" s="1">
        <v>5.0000000000000001E-3</v>
      </c>
      <c r="F88" s="4">
        <f t="shared" si="2"/>
        <v>0.37438749999999998</v>
      </c>
      <c r="G88" s="1">
        <f t="shared" si="3"/>
        <v>16.098213375</v>
      </c>
    </row>
    <row r="89" spans="1:7">
      <c r="A89" s="1" t="s">
        <v>35</v>
      </c>
      <c r="B89" s="1" t="s">
        <v>31</v>
      </c>
      <c r="C89" s="1" t="s">
        <v>25</v>
      </c>
      <c r="D89" s="4">
        <v>0.25468750000000001</v>
      </c>
      <c r="E89" s="1">
        <v>5.0000000000000001E-3</v>
      </c>
      <c r="F89" s="4">
        <f t="shared" si="2"/>
        <v>0.24968750000000001</v>
      </c>
      <c r="G89" s="1">
        <f t="shared" si="3"/>
        <v>10.744842375000001</v>
      </c>
    </row>
    <row r="90" spans="1:7">
      <c r="A90" s="1" t="s">
        <v>35</v>
      </c>
      <c r="B90" s="1" t="s">
        <v>31</v>
      </c>
      <c r="C90" s="1" t="s">
        <v>26</v>
      </c>
      <c r="D90" s="4">
        <v>0.28588750000000002</v>
      </c>
      <c r="E90" s="1">
        <v>5.0000000000000001E-3</v>
      </c>
      <c r="F90" s="4">
        <f t="shared" si="2"/>
        <v>0.28088750000000001</v>
      </c>
      <c r="G90" s="1">
        <f t="shared" si="3"/>
        <v>12.084258375000001</v>
      </c>
    </row>
    <row r="91" spans="1:7">
      <c r="A91" s="1" t="s">
        <v>35</v>
      </c>
      <c r="B91" s="1" t="s">
        <v>31</v>
      </c>
      <c r="C91" s="1" t="s">
        <v>27</v>
      </c>
      <c r="D91" s="4">
        <v>0.24828749999999999</v>
      </c>
      <c r="E91" s="1">
        <v>5.0000000000000001E-3</v>
      </c>
      <c r="F91" s="4">
        <f t="shared" si="2"/>
        <v>0.24328749999999999</v>
      </c>
      <c r="G91" s="1">
        <f t="shared" si="3"/>
        <v>10.470090375</v>
      </c>
    </row>
    <row r="92" spans="1:7">
      <c r="A92" s="1" t="s">
        <v>35</v>
      </c>
      <c r="B92" s="1" t="s">
        <v>32</v>
      </c>
      <c r="C92" s="2" t="s">
        <v>4</v>
      </c>
      <c r="D92" s="4">
        <v>0.29148750000000001</v>
      </c>
      <c r="E92" s="1">
        <v>5.0000000000000001E-3</v>
      </c>
      <c r="F92" s="4">
        <f t="shared" si="2"/>
        <v>0.28648750000000001</v>
      </c>
      <c r="G92" s="1">
        <f t="shared" si="3"/>
        <v>12.324666375000001</v>
      </c>
    </row>
    <row r="93" spans="1:7">
      <c r="A93" s="1" t="s">
        <v>35</v>
      </c>
      <c r="B93" s="1" t="s">
        <v>32</v>
      </c>
      <c r="C93" s="2" t="s">
        <v>6</v>
      </c>
      <c r="D93" s="4">
        <v>0.26078750000000001</v>
      </c>
      <c r="E93" s="1">
        <v>5.0000000000000001E-3</v>
      </c>
      <c r="F93" s="4">
        <f t="shared" si="2"/>
        <v>0.2557875</v>
      </c>
      <c r="G93" s="1">
        <f t="shared" si="3"/>
        <v>11.006715375000001</v>
      </c>
    </row>
    <row r="94" spans="1:7">
      <c r="A94" s="1" t="s">
        <v>35</v>
      </c>
      <c r="B94" s="1" t="s">
        <v>32</v>
      </c>
      <c r="C94" s="2" t="s">
        <v>7</v>
      </c>
      <c r="D94" s="4">
        <v>0.26378750000000001</v>
      </c>
      <c r="E94" s="1">
        <v>5.0000000000000001E-3</v>
      </c>
      <c r="F94" s="4">
        <f t="shared" si="2"/>
        <v>0.2587875</v>
      </c>
      <c r="G94" s="1">
        <f t="shared" si="3"/>
        <v>11.135505374999999</v>
      </c>
    </row>
    <row r="95" spans="1:7">
      <c r="A95" s="1" t="s">
        <v>35</v>
      </c>
      <c r="B95" s="1" t="s">
        <v>32</v>
      </c>
      <c r="C95" s="2" t="s">
        <v>8</v>
      </c>
      <c r="D95" s="4">
        <v>0.23708750000000001</v>
      </c>
      <c r="E95" s="1">
        <v>5.0000000000000001E-3</v>
      </c>
      <c r="F95" s="4">
        <f t="shared" si="2"/>
        <v>0.2320875</v>
      </c>
      <c r="G95" s="1">
        <f t="shared" si="3"/>
        <v>9.989274374999999</v>
      </c>
    </row>
    <row r="96" spans="1:7">
      <c r="A96" s="1" t="s">
        <v>35</v>
      </c>
      <c r="B96" s="1" t="s">
        <v>32</v>
      </c>
      <c r="C96" s="2" t="s">
        <v>10</v>
      </c>
      <c r="D96" s="4">
        <v>0.28238750000000001</v>
      </c>
      <c r="E96" s="1">
        <v>5.0000000000000001E-3</v>
      </c>
      <c r="F96" s="4">
        <f t="shared" si="2"/>
        <v>0.27738750000000001</v>
      </c>
      <c r="G96" s="1">
        <f t="shared" si="3"/>
        <v>11.934003375000001</v>
      </c>
    </row>
    <row r="97" spans="1:7">
      <c r="A97" s="1" t="s">
        <v>35</v>
      </c>
      <c r="B97" s="1" t="s">
        <v>32</v>
      </c>
      <c r="C97" s="2" t="s">
        <v>11</v>
      </c>
      <c r="D97" s="4">
        <v>0.2270875</v>
      </c>
      <c r="E97" s="1">
        <v>5.0000000000000001E-3</v>
      </c>
      <c r="F97" s="4">
        <f t="shared" si="2"/>
        <v>0.22208749999999999</v>
      </c>
      <c r="G97" s="1">
        <f t="shared" si="3"/>
        <v>9.5599743749999995</v>
      </c>
    </row>
    <row r="98" spans="1:7">
      <c r="A98" s="1" t="s">
        <v>35</v>
      </c>
      <c r="B98" s="1" t="s">
        <v>32</v>
      </c>
      <c r="C98" s="2" t="s">
        <v>12</v>
      </c>
      <c r="D98" s="4">
        <v>0.2683875</v>
      </c>
      <c r="E98" s="1">
        <v>5.0000000000000001E-3</v>
      </c>
      <c r="F98" s="4">
        <f t="shared" si="2"/>
        <v>0.2633875</v>
      </c>
      <c r="G98" s="1">
        <f t="shared" si="3"/>
        <v>11.332983375</v>
      </c>
    </row>
    <row r="99" spans="1:7">
      <c r="A99" s="1" t="s">
        <v>35</v>
      </c>
      <c r="B99" s="1" t="s">
        <v>32</v>
      </c>
      <c r="C99" s="2" t="s">
        <v>14</v>
      </c>
      <c r="D99" s="4">
        <v>0.32348749999999998</v>
      </c>
      <c r="E99" s="1">
        <v>5.0000000000000001E-3</v>
      </c>
      <c r="F99" s="4">
        <f t="shared" si="2"/>
        <v>0.31848749999999998</v>
      </c>
      <c r="G99" s="1">
        <f t="shared" si="3"/>
        <v>13.698426375</v>
      </c>
    </row>
    <row r="100" spans="1:7">
      <c r="A100" s="1" t="s">
        <v>35</v>
      </c>
      <c r="B100" s="1" t="s">
        <v>32</v>
      </c>
      <c r="C100" s="2" t="s">
        <v>15</v>
      </c>
      <c r="D100" s="4">
        <v>0.32708749999999998</v>
      </c>
      <c r="E100" s="1">
        <v>5.0000000000000001E-3</v>
      </c>
      <c r="F100" s="4">
        <f t="shared" si="2"/>
        <v>0.32208749999999997</v>
      </c>
      <c r="G100" s="1">
        <f t="shared" si="3"/>
        <v>13.852974374999999</v>
      </c>
    </row>
    <row r="101" spans="1:7">
      <c r="A101" s="1" t="s">
        <v>35</v>
      </c>
      <c r="B101" s="1" t="s">
        <v>32</v>
      </c>
      <c r="C101" s="2" t="s">
        <v>16</v>
      </c>
      <c r="D101" s="4">
        <v>0.24818750000000001</v>
      </c>
      <c r="E101" s="1">
        <v>5.0000000000000001E-3</v>
      </c>
      <c r="F101" s="4">
        <f t="shared" si="2"/>
        <v>0.2431875</v>
      </c>
      <c r="G101" s="1">
        <f t="shared" si="3"/>
        <v>10.465797374999999</v>
      </c>
    </row>
    <row r="102" spans="1:7">
      <c r="A102" s="1" t="s">
        <v>35</v>
      </c>
      <c r="B102" s="1" t="s">
        <v>32</v>
      </c>
      <c r="C102" s="2" t="s">
        <v>18</v>
      </c>
      <c r="D102" s="4">
        <v>0.37798749999999998</v>
      </c>
      <c r="E102" s="1">
        <v>5.0000000000000001E-3</v>
      </c>
      <c r="F102" s="4">
        <f t="shared" si="2"/>
        <v>0.37298749999999997</v>
      </c>
      <c r="G102" s="1">
        <f t="shared" si="3"/>
        <v>16.038111375</v>
      </c>
    </row>
    <row r="103" spans="1:7">
      <c r="A103" s="1" t="s">
        <v>35</v>
      </c>
      <c r="B103" s="1" t="s">
        <v>32</v>
      </c>
      <c r="C103" s="2" t="s">
        <v>19</v>
      </c>
      <c r="D103" s="4">
        <v>0.3671875</v>
      </c>
      <c r="E103" s="1">
        <v>5.0000000000000001E-3</v>
      </c>
      <c r="F103" s="4">
        <f t="shared" si="2"/>
        <v>0.3621875</v>
      </c>
      <c r="G103" s="1">
        <f t="shared" si="3"/>
        <v>15.574467375000001</v>
      </c>
    </row>
    <row r="104" spans="1:7">
      <c r="A104" s="1" t="s">
        <v>35</v>
      </c>
      <c r="B104" s="1" t="s">
        <v>32</v>
      </c>
      <c r="C104" s="2" t="s">
        <v>20</v>
      </c>
      <c r="D104" s="4">
        <v>0.27358749999999998</v>
      </c>
      <c r="E104" s="1">
        <v>5.0000000000000001E-3</v>
      </c>
      <c r="F104" s="4">
        <f t="shared" si="2"/>
        <v>0.26858749999999998</v>
      </c>
      <c r="G104" s="1">
        <f t="shared" si="3"/>
        <v>11.556219374999998</v>
      </c>
    </row>
    <row r="105" spans="1:7">
      <c r="A105" s="1" t="s">
        <v>35</v>
      </c>
      <c r="B105" s="1" t="s">
        <v>32</v>
      </c>
      <c r="C105" s="2" t="s">
        <v>22</v>
      </c>
      <c r="D105" s="4">
        <v>0.28698750000000001</v>
      </c>
      <c r="E105" s="1">
        <v>5.0000000000000001E-3</v>
      </c>
      <c r="F105" s="4">
        <f t="shared" si="2"/>
        <v>0.2819875</v>
      </c>
      <c r="G105" s="1">
        <f t="shared" si="3"/>
        <v>12.131481375</v>
      </c>
    </row>
    <row r="106" spans="1:7">
      <c r="A106" s="1" t="s">
        <v>35</v>
      </c>
      <c r="B106" s="1" t="s">
        <v>32</v>
      </c>
      <c r="C106" s="2" t="s">
        <v>23</v>
      </c>
      <c r="D106" s="4">
        <v>0.31658750000000002</v>
      </c>
      <c r="E106" s="1">
        <v>5.0000000000000001E-3</v>
      </c>
      <c r="F106" s="4">
        <f t="shared" si="2"/>
        <v>0.31158750000000002</v>
      </c>
      <c r="G106" s="1">
        <f t="shared" si="3"/>
        <v>13.402209375000002</v>
      </c>
    </row>
    <row r="107" spans="1:7">
      <c r="A107" s="1" t="s">
        <v>35</v>
      </c>
      <c r="B107" s="1" t="s">
        <v>32</v>
      </c>
      <c r="C107" s="2" t="s">
        <v>24</v>
      </c>
      <c r="D107" s="4">
        <v>0.32018750000000001</v>
      </c>
      <c r="E107" s="1">
        <v>5.0000000000000001E-3</v>
      </c>
      <c r="F107" s="4">
        <f t="shared" si="2"/>
        <v>0.31518750000000001</v>
      </c>
      <c r="G107" s="1">
        <f t="shared" si="3"/>
        <v>13.556757375</v>
      </c>
    </row>
    <row r="108" spans="1:7">
      <c r="A108" s="1" t="s">
        <v>35</v>
      </c>
      <c r="B108" s="1" t="s">
        <v>32</v>
      </c>
      <c r="C108" s="2" t="s">
        <v>26</v>
      </c>
      <c r="D108" s="4">
        <v>0.23068749999999999</v>
      </c>
      <c r="E108" s="1">
        <v>5.0000000000000001E-3</v>
      </c>
      <c r="F108" s="4">
        <f t="shared" si="2"/>
        <v>0.22568749999999999</v>
      </c>
      <c r="G108" s="1">
        <f t="shared" si="3"/>
        <v>9.7145223749999996</v>
      </c>
    </row>
    <row r="109" spans="1:7">
      <c r="A109" s="1" t="s">
        <v>35</v>
      </c>
      <c r="B109" s="1" t="s">
        <v>32</v>
      </c>
      <c r="C109" s="2" t="s">
        <v>27</v>
      </c>
      <c r="D109" s="4">
        <v>0.28068749999999998</v>
      </c>
      <c r="E109" s="1">
        <v>5.0000000000000001E-3</v>
      </c>
      <c r="F109" s="4">
        <f t="shared" si="2"/>
        <v>0.27568749999999997</v>
      </c>
      <c r="G109" s="1">
        <f t="shared" si="3"/>
        <v>11.861022374999997</v>
      </c>
    </row>
    <row r="110" spans="1:7">
      <c r="A110" s="1" t="s">
        <v>35</v>
      </c>
      <c r="B110" s="1" t="s">
        <v>33</v>
      </c>
      <c r="C110" s="2" t="s">
        <v>4</v>
      </c>
      <c r="D110" s="4">
        <v>0.35288750000000002</v>
      </c>
      <c r="E110" s="1">
        <v>5.0000000000000001E-3</v>
      </c>
      <c r="F110" s="4">
        <f t="shared" si="2"/>
        <v>0.34788750000000002</v>
      </c>
      <c r="G110" s="1">
        <f t="shared" si="3"/>
        <v>14.960568375000003</v>
      </c>
    </row>
    <row r="111" spans="1:7">
      <c r="A111" s="1" t="s">
        <v>35</v>
      </c>
      <c r="B111" s="1" t="s">
        <v>33</v>
      </c>
      <c r="C111" s="2" t="s">
        <v>6</v>
      </c>
      <c r="D111" s="4">
        <v>0.31088749999999998</v>
      </c>
      <c r="E111" s="1">
        <v>5.0000000000000001E-3</v>
      </c>
      <c r="F111" s="4">
        <f t="shared" si="2"/>
        <v>0.30588749999999998</v>
      </c>
      <c r="G111" s="1">
        <f t="shared" si="3"/>
        <v>13.157508374999999</v>
      </c>
    </row>
    <row r="112" spans="1:7">
      <c r="A112" s="1" t="s">
        <v>35</v>
      </c>
      <c r="B112" s="1" t="s">
        <v>33</v>
      </c>
      <c r="C112" s="2" t="s">
        <v>7</v>
      </c>
      <c r="D112" s="4">
        <v>0.29098750000000001</v>
      </c>
      <c r="E112" s="1">
        <v>5.0000000000000001E-3</v>
      </c>
      <c r="F112" s="4">
        <f t="shared" si="2"/>
        <v>0.28598750000000001</v>
      </c>
      <c r="G112" s="1">
        <f t="shared" si="3"/>
        <v>12.303201375</v>
      </c>
    </row>
    <row r="113" spans="1:7">
      <c r="A113" s="1" t="s">
        <v>35</v>
      </c>
      <c r="B113" s="1" t="s">
        <v>33</v>
      </c>
      <c r="C113" s="2" t="s">
        <v>8</v>
      </c>
      <c r="D113" s="4">
        <v>0.34578750000000003</v>
      </c>
      <c r="E113" s="1">
        <v>5.0000000000000001E-3</v>
      </c>
      <c r="F113" s="4">
        <f t="shared" si="2"/>
        <v>0.34078750000000002</v>
      </c>
      <c r="G113" s="1">
        <f t="shared" si="3"/>
        <v>14.655765375000001</v>
      </c>
    </row>
    <row r="114" spans="1:7">
      <c r="A114" s="1" t="s">
        <v>35</v>
      </c>
      <c r="B114" s="1" t="s">
        <v>33</v>
      </c>
      <c r="C114" s="2" t="s">
        <v>10</v>
      </c>
      <c r="D114" s="4">
        <v>0.37888749999999999</v>
      </c>
      <c r="E114" s="1">
        <v>5.0000000000000001E-3</v>
      </c>
      <c r="F114" s="4">
        <f t="shared" si="2"/>
        <v>0.37388749999999998</v>
      </c>
      <c r="G114" s="1">
        <f t="shared" si="3"/>
        <v>16.076748374999998</v>
      </c>
    </row>
    <row r="115" spans="1:7">
      <c r="A115" s="1" t="s">
        <v>35</v>
      </c>
      <c r="B115" s="1" t="s">
        <v>33</v>
      </c>
      <c r="C115" s="2" t="s">
        <v>11</v>
      </c>
      <c r="D115" s="4">
        <v>0.3651875</v>
      </c>
      <c r="E115" s="1">
        <v>5.0000000000000001E-3</v>
      </c>
      <c r="F115" s="4">
        <f t="shared" si="2"/>
        <v>0.36018749999999999</v>
      </c>
      <c r="G115" s="1">
        <f t="shared" si="3"/>
        <v>15.488607374999999</v>
      </c>
    </row>
    <row r="116" spans="1:7">
      <c r="A116" s="1" t="s">
        <v>35</v>
      </c>
      <c r="B116" s="1" t="s">
        <v>33</v>
      </c>
      <c r="C116" s="2" t="s">
        <v>12</v>
      </c>
      <c r="D116" s="4">
        <v>0.31008750000000002</v>
      </c>
      <c r="E116" s="1">
        <v>5.0000000000000001E-3</v>
      </c>
      <c r="F116" s="4">
        <f t="shared" si="2"/>
        <v>0.30508750000000001</v>
      </c>
      <c r="G116" s="1">
        <f t="shared" si="3"/>
        <v>13.123164374999998</v>
      </c>
    </row>
    <row r="117" spans="1:7">
      <c r="A117" s="1" t="s">
        <v>35</v>
      </c>
      <c r="B117" s="1" t="s">
        <v>33</v>
      </c>
      <c r="C117" s="2" t="s">
        <v>14</v>
      </c>
      <c r="D117" s="4">
        <v>0.31888749999999999</v>
      </c>
      <c r="E117" s="1">
        <v>5.0000000000000001E-3</v>
      </c>
      <c r="F117" s="4">
        <f t="shared" si="2"/>
        <v>0.31388749999999999</v>
      </c>
      <c r="G117" s="1">
        <f t="shared" si="3"/>
        <v>13.500948374999998</v>
      </c>
    </row>
    <row r="118" spans="1:7">
      <c r="A118" s="1" t="s">
        <v>35</v>
      </c>
      <c r="B118" s="1" t="s">
        <v>33</v>
      </c>
      <c r="C118" s="2" t="s">
        <v>15</v>
      </c>
      <c r="D118" s="4">
        <v>0.2587875</v>
      </c>
      <c r="E118" s="1">
        <v>5.0000000000000001E-3</v>
      </c>
      <c r="F118" s="4">
        <f t="shared" si="2"/>
        <v>0.2537875</v>
      </c>
      <c r="G118" s="1">
        <f t="shared" si="3"/>
        <v>10.920855374999999</v>
      </c>
    </row>
    <row r="119" spans="1:7">
      <c r="A119" s="1" t="s">
        <v>35</v>
      </c>
      <c r="B119" s="1" t="s">
        <v>33</v>
      </c>
      <c r="C119" s="2" t="s">
        <v>16</v>
      </c>
      <c r="D119" s="4">
        <v>0.38088749999999999</v>
      </c>
      <c r="E119" s="1">
        <v>5.0000000000000001E-3</v>
      </c>
      <c r="F119" s="4">
        <f t="shared" si="2"/>
        <v>0.37588749999999999</v>
      </c>
      <c r="G119" s="1">
        <f t="shared" si="3"/>
        <v>16.162608374999998</v>
      </c>
    </row>
    <row r="120" spans="1:7">
      <c r="A120" s="1" t="s">
        <v>35</v>
      </c>
      <c r="B120" s="1" t="s">
        <v>33</v>
      </c>
      <c r="C120" s="2" t="s">
        <v>18</v>
      </c>
      <c r="D120" s="4">
        <v>0.33668749999999997</v>
      </c>
      <c r="E120" s="1">
        <v>5.0000000000000001E-3</v>
      </c>
      <c r="F120" s="4">
        <f t="shared" si="2"/>
        <v>0.33168749999999997</v>
      </c>
      <c r="G120" s="1">
        <f t="shared" si="3"/>
        <v>14.265102375</v>
      </c>
    </row>
    <row r="121" spans="1:7">
      <c r="A121" s="1" t="s">
        <v>35</v>
      </c>
      <c r="B121" s="1" t="s">
        <v>33</v>
      </c>
      <c r="C121" s="2" t="s">
        <v>19</v>
      </c>
      <c r="D121" s="4">
        <v>0.33518750000000003</v>
      </c>
      <c r="E121" s="1">
        <v>5.0000000000000001E-3</v>
      </c>
      <c r="F121" s="4">
        <f t="shared" si="2"/>
        <v>0.33018750000000002</v>
      </c>
      <c r="G121" s="1">
        <f t="shared" si="3"/>
        <v>14.200707375000002</v>
      </c>
    </row>
    <row r="122" spans="1:7">
      <c r="A122" s="1" t="s">
        <v>35</v>
      </c>
      <c r="B122" s="1" t="s">
        <v>33</v>
      </c>
      <c r="C122" s="2" t="s">
        <v>20</v>
      </c>
      <c r="D122" s="4">
        <v>0.32798749999999999</v>
      </c>
      <c r="E122" s="1">
        <v>5.0000000000000001E-3</v>
      </c>
      <c r="F122" s="4">
        <f t="shared" si="2"/>
        <v>0.32298749999999998</v>
      </c>
      <c r="G122" s="1">
        <f t="shared" si="3"/>
        <v>13.891611374999998</v>
      </c>
    </row>
    <row r="123" spans="1:7">
      <c r="A123" s="1" t="s">
        <v>35</v>
      </c>
      <c r="B123" s="1" t="s">
        <v>33</v>
      </c>
      <c r="C123" s="2" t="s">
        <v>22</v>
      </c>
      <c r="D123" s="4">
        <v>0.33198749999999999</v>
      </c>
      <c r="E123" s="1">
        <v>5.0000000000000001E-3</v>
      </c>
      <c r="F123" s="4">
        <f t="shared" si="2"/>
        <v>0.32698749999999999</v>
      </c>
      <c r="G123" s="1">
        <f t="shared" si="3"/>
        <v>14.063331374999999</v>
      </c>
    </row>
    <row r="124" spans="1:7">
      <c r="A124" s="1" t="s">
        <v>35</v>
      </c>
      <c r="B124" s="1" t="s">
        <v>33</v>
      </c>
      <c r="C124" s="2" t="s">
        <v>23</v>
      </c>
      <c r="D124" s="4">
        <v>0.32358749999999997</v>
      </c>
      <c r="E124" s="1">
        <v>5.0000000000000001E-3</v>
      </c>
      <c r="F124" s="4">
        <f t="shared" si="2"/>
        <v>0.31858749999999997</v>
      </c>
      <c r="G124" s="1">
        <f t="shared" si="3"/>
        <v>13.702719374999999</v>
      </c>
    </row>
    <row r="125" spans="1:7">
      <c r="A125" s="1" t="s">
        <v>35</v>
      </c>
      <c r="B125" s="1" t="s">
        <v>33</v>
      </c>
      <c r="C125" s="2" t="s">
        <v>24</v>
      </c>
      <c r="D125" s="4">
        <v>0.41428749999999998</v>
      </c>
      <c r="E125" s="1">
        <v>5.0000000000000001E-3</v>
      </c>
      <c r="F125" s="4">
        <f t="shared" si="2"/>
        <v>0.40928749999999997</v>
      </c>
      <c r="G125" s="1">
        <f t="shared" si="3"/>
        <v>17.596470374999999</v>
      </c>
    </row>
    <row r="126" spans="1:7">
      <c r="A126" s="1" t="s">
        <v>35</v>
      </c>
      <c r="B126" s="1" t="s">
        <v>33</v>
      </c>
      <c r="C126" s="2" t="s">
        <v>26</v>
      </c>
      <c r="D126" s="4">
        <v>0.4427875</v>
      </c>
      <c r="E126" s="1">
        <v>5.0000000000000001E-3</v>
      </c>
      <c r="F126" s="4">
        <f t="shared" si="2"/>
        <v>0.4377875</v>
      </c>
      <c r="G126" s="1">
        <f t="shared" si="3"/>
        <v>18.819975374999999</v>
      </c>
    </row>
    <row r="127" spans="1:7">
      <c r="A127" s="1" t="s">
        <v>35</v>
      </c>
      <c r="B127" s="1" t="s">
        <v>33</v>
      </c>
      <c r="C127" s="2" t="s">
        <v>27</v>
      </c>
      <c r="D127" s="4">
        <v>0.30938749999999998</v>
      </c>
      <c r="E127" s="1">
        <v>5.0000000000000001E-3</v>
      </c>
      <c r="F127" s="4">
        <f t="shared" si="2"/>
        <v>0.30438749999999998</v>
      </c>
      <c r="G127" s="1">
        <f t="shared" si="3"/>
        <v>13.093113374999998</v>
      </c>
    </row>
    <row r="128" spans="1:7">
      <c r="A128" s="1" t="s">
        <v>35</v>
      </c>
      <c r="B128" s="1" t="s">
        <v>34</v>
      </c>
      <c r="C128" s="2" t="s">
        <v>4</v>
      </c>
      <c r="D128" s="4">
        <v>0.27588750000000001</v>
      </c>
      <c r="E128" s="1">
        <v>5.0000000000000001E-3</v>
      </c>
      <c r="F128" s="4">
        <f t="shared" si="2"/>
        <v>0.2708875</v>
      </c>
      <c r="G128" s="1">
        <f t="shared" si="3"/>
        <v>11.654958375</v>
      </c>
    </row>
    <row r="129" spans="1:7">
      <c r="A129" s="1" t="s">
        <v>35</v>
      </c>
      <c r="B129" s="1" t="s">
        <v>34</v>
      </c>
      <c r="C129" s="2" t="s">
        <v>6</v>
      </c>
      <c r="D129" s="4">
        <v>0.26198749999999998</v>
      </c>
      <c r="E129" s="1">
        <v>5.0000000000000001E-3</v>
      </c>
      <c r="F129" s="4">
        <f t="shared" si="2"/>
        <v>0.25698749999999998</v>
      </c>
      <c r="G129" s="1">
        <f t="shared" si="3"/>
        <v>11.058231374999998</v>
      </c>
    </row>
    <row r="130" spans="1:7">
      <c r="A130" s="1" t="s">
        <v>35</v>
      </c>
      <c r="B130" s="1" t="s">
        <v>34</v>
      </c>
      <c r="C130" s="2" t="s">
        <v>7</v>
      </c>
      <c r="D130" s="4">
        <v>0.23478750000000001</v>
      </c>
      <c r="E130" s="1">
        <v>5.0000000000000001E-3</v>
      </c>
      <c r="F130" s="4">
        <f t="shared" si="2"/>
        <v>0.22978750000000001</v>
      </c>
      <c r="G130" s="1">
        <f t="shared" si="3"/>
        <v>9.8905353750000007</v>
      </c>
    </row>
    <row r="131" spans="1:7">
      <c r="A131" s="1" t="s">
        <v>35</v>
      </c>
      <c r="B131" s="1" t="s">
        <v>34</v>
      </c>
      <c r="C131" s="2" t="s">
        <v>8</v>
      </c>
      <c r="D131" s="4">
        <v>0.50288750000000004</v>
      </c>
      <c r="E131" s="1">
        <v>5.0000000000000001E-3</v>
      </c>
      <c r="F131" s="4">
        <f t="shared" ref="F131:F194" si="4">D131-E131</f>
        <v>0.49788750000000004</v>
      </c>
      <c r="G131" s="1">
        <f t="shared" ref="G131:G194" si="5">0.2862*(F131+0.0006)*1.5/0.01</f>
        <v>21.400068375000004</v>
      </c>
    </row>
    <row r="132" spans="1:7">
      <c r="A132" s="1" t="s">
        <v>35</v>
      </c>
      <c r="B132" s="1" t="s">
        <v>34</v>
      </c>
      <c r="C132" s="2" t="s">
        <v>10</v>
      </c>
      <c r="D132" s="4">
        <v>0.3651875</v>
      </c>
      <c r="E132" s="1">
        <v>5.0000000000000001E-3</v>
      </c>
      <c r="F132" s="4">
        <f t="shared" si="4"/>
        <v>0.36018749999999999</v>
      </c>
      <c r="G132" s="1">
        <f t="shared" si="5"/>
        <v>15.488607374999999</v>
      </c>
    </row>
    <row r="133" spans="1:7">
      <c r="A133" s="1" t="s">
        <v>35</v>
      </c>
      <c r="B133" s="1" t="s">
        <v>34</v>
      </c>
      <c r="C133" s="2" t="s">
        <v>11</v>
      </c>
      <c r="D133" s="4">
        <v>0.35468749999999999</v>
      </c>
      <c r="E133" s="1">
        <v>5.0000000000000001E-3</v>
      </c>
      <c r="F133" s="4">
        <f t="shared" si="4"/>
        <v>0.34968749999999998</v>
      </c>
      <c r="G133" s="1">
        <f t="shared" si="5"/>
        <v>15.037842374999999</v>
      </c>
    </row>
    <row r="134" spans="1:7">
      <c r="A134" s="1" t="s">
        <v>35</v>
      </c>
      <c r="B134" s="1" t="s">
        <v>34</v>
      </c>
      <c r="C134" s="2" t="s">
        <v>12</v>
      </c>
      <c r="D134" s="4">
        <v>0.25138749999999999</v>
      </c>
      <c r="E134" s="1">
        <v>5.0000000000000001E-3</v>
      </c>
      <c r="F134" s="4">
        <f t="shared" si="4"/>
        <v>0.24638749999999998</v>
      </c>
      <c r="G134" s="1">
        <f t="shared" si="5"/>
        <v>10.603173374999999</v>
      </c>
    </row>
    <row r="135" spans="1:7">
      <c r="A135" s="1" t="s">
        <v>35</v>
      </c>
      <c r="B135" s="1" t="s">
        <v>34</v>
      </c>
      <c r="C135" s="2" t="s">
        <v>14</v>
      </c>
      <c r="D135" s="4">
        <v>0.29568749999999999</v>
      </c>
      <c r="E135" s="1">
        <v>5.0000000000000001E-3</v>
      </c>
      <c r="F135" s="4">
        <f t="shared" si="4"/>
        <v>0.29068749999999999</v>
      </c>
      <c r="G135" s="1">
        <f t="shared" si="5"/>
        <v>12.504972374999998</v>
      </c>
    </row>
    <row r="136" spans="1:7">
      <c r="A136" s="1" t="s">
        <v>35</v>
      </c>
      <c r="B136" s="1" t="s">
        <v>34</v>
      </c>
      <c r="C136" s="2" t="s">
        <v>15</v>
      </c>
      <c r="D136" s="4">
        <v>0.33028750000000001</v>
      </c>
      <c r="E136" s="1">
        <v>5.0000000000000001E-3</v>
      </c>
      <c r="F136" s="4">
        <f t="shared" si="4"/>
        <v>0.32528750000000001</v>
      </c>
      <c r="G136" s="1">
        <f t="shared" si="5"/>
        <v>13.990350374999998</v>
      </c>
    </row>
    <row r="137" spans="1:7">
      <c r="A137" s="1" t="s">
        <v>35</v>
      </c>
      <c r="B137" s="1" t="s">
        <v>34</v>
      </c>
      <c r="C137" s="2" t="s">
        <v>16</v>
      </c>
      <c r="D137" s="4">
        <v>0.3953875</v>
      </c>
      <c r="E137" s="1">
        <v>5.0000000000000001E-3</v>
      </c>
      <c r="F137" s="4">
        <f t="shared" si="4"/>
        <v>0.3903875</v>
      </c>
      <c r="G137" s="1">
        <f t="shared" si="5"/>
        <v>16.785093375000002</v>
      </c>
    </row>
    <row r="138" spans="1:7">
      <c r="A138" s="1" t="s">
        <v>35</v>
      </c>
      <c r="B138" s="1" t="s">
        <v>34</v>
      </c>
      <c r="C138" s="2" t="s">
        <v>18</v>
      </c>
      <c r="D138" s="4">
        <v>0.37918750000000001</v>
      </c>
      <c r="E138" s="1">
        <v>5.0000000000000001E-3</v>
      </c>
      <c r="F138" s="4">
        <f t="shared" si="4"/>
        <v>0.37418750000000001</v>
      </c>
      <c r="G138" s="1">
        <f t="shared" si="5"/>
        <v>16.089627374999999</v>
      </c>
    </row>
    <row r="139" spans="1:7">
      <c r="A139" s="1" t="s">
        <v>35</v>
      </c>
      <c r="B139" s="1" t="s">
        <v>34</v>
      </c>
      <c r="C139" s="2" t="s">
        <v>19</v>
      </c>
      <c r="D139" s="4">
        <v>0.30558750000000001</v>
      </c>
      <c r="E139" s="1">
        <v>5.0000000000000001E-3</v>
      </c>
      <c r="F139" s="4">
        <f t="shared" si="4"/>
        <v>0.30058750000000001</v>
      </c>
      <c r="G139" s="1">
        <f t="shared" si="5"/>
        <v>12.929979375</v>
      </c>
    </row>
    <row r="140" spans="1:7">
      <c r="A140" s="1" t="s">
        <v>35</v>
      </c>
      <c r="B140" s="1" t="s">
        <v>34</v>
      </c>
      <c r="C140" s="2" t="s">
        <v>20</v>
      </c>
      <c r="D140" s="4">
        <v>0.37418750000000001</v>
      </c>
      <c r="E140" s="1">
        <v>5.0000000000000001E-3</v>
      </c>
      <c r="F140" s="4">
        <f t="shared" si="4"/>
        <v>0.3691875</v>
      </c>
      <c r="G140" s="1">
        <f t="shared" si="5"/>
        <v>15.874977374999999</v>
      </c>
    </row>
    <row r="141" spans="1:7">
      <c r="A141" s="1" t="s">
        <v>35</v>
      </c>
      <c r="B141" s="1" t="s">
        <v>34</v>
      </c>
      <c r="C141" s="2" t="s">
        <v>22</v>
      </c>
      <c r="D141" s="4">
        <v>0.33218750000000002</v>
      </c>
      <c r="E141" s="1">
        <v>5.0000000000000001E-3</v>
      </c>
      <c r="F141" s="4">
        <f t="shared" si="4"/>
        <v>0.32718750000000002</v>
      </c>
      <c r="G141" s="1">
        <f t="shared" si="5"/>
        <v>14.071917375</v>
      </c>
    </row>
    <row r="142" spans="1:7">
      <c r="A142" s="1" t="s">
        <v>35</v>
      </c>
      <c r="B142" s="1" t="s">
        <v>34</v>
      </c>
      <c r="C142" s="2" t="s">
        <v>23</v>
      </c>
      <c r="D142" s="4">
        <v>0.35328749999999998</v>
      </c>
      <c r="E142" s="1">
        <v>5.0000000000000001E-3</v>
      </c>
      <c r="F142" s="4">
        <f t="shared" si="4"/>
        <v>0.34828749999999997</v>
      </c>
      <c r="G142" s="1">
        <f t="shared" si="5"/>
        <v>14.977740374999998</v>
      </c>
    </row>
    <row r="143" spans="1:7">
      <c r="A143" s="1" t="s">
        <v>35</v>
      </c>
      <c r="B143" s="1" t="s">
        <v>34</v>
      </c>
      <c r="C143" s="2" t="s">
        <v>24</v>
      </c>
      <c r="D143" s="4">
        <v>0.3888875</v>
      </c>
      <c r="E143" s="1">
        <v>5.0000000000000001E-3</v>
      </c>
      <c r="F143" s="4">
        <f t="shared" si="4"/>
        <v>0.38388749999999999</v>
      </c>
      <c r="G143" s="1">
        <f t="shared" si="5"/>
        <v>16.506048374999999</v>
      </c>
    </row>
    <row r="144" spans="1:7">
      <c r="A144" s="1" t="s">
        <v>35</v>
      </c>
      <c r="B144" s="1" t="s">
        <v>34</v>
      </c>
      <c r="C144" s="2" t="s">
        <v>26</v>
      </c>
      <c r="D144" s="4">
        <v>0.34378750000000002</v>
      </c>
      <c r="E144" s="1">
        <v>5.0000000000000001E-3</v>
      </c>
      <c r="F144" s="4">
        <f t="shared" si="4"/>
        <v>0.33878750000000002</v>
      </c>
      <c r="G144" s="1">
        <f t="shared" si="5"/>
        <v>14.569905374999999</v>
      </c>
    </row>
    <row r="145" spans="1:7">
      <c r="A145" s="1" t="s">
        <v>35</v>
      </c>
      <c r="B145" s="1" t="s">
        <v>34</v>
      </c>
      <c r="C145" s="2" t="s">
        <v>27</v>
      </c>
      <c r="D145" s="4">
        <v>0.32868750000000002</v>
      </c>
      <c r="E145" s="1">
        <v>5.0000000000000001E-3</v>
      </c>
      <c r="F145" s="4">
        <f t="shared" si="4"/>
        <v>0.32368750000000002</v>
      </c>
      <c r="G145" s="1">
        <f t="shared" si="5"/>
        <v>13.921662374999999</v>
      </c>
    </row>
    <row r="146" spans="1:7">
      <c r="A146" s="1" t="s">
        <v>36</v>
      </c>
      <c r="B146" s="1" t="s">
        <v>37</v>
      </c>
      <c r="C146" s="2" t="s">
        <v>4</v>
      </c>
      <c r="D146" s="4">
        <v>0.44093749999999998</v>
      </c>
      <c r="E146" s="1">
        <v>5.0000000000000001E-3</v>
      </c>
      <c r="F146" s="4">
        <f t="shared" si="4"/>
        <v>0.43593749999999998</v>
      </c>
      <c r="G146" s="1">
        <f t="shared" si="5"/>
        <v>18.740554874999997</v>
      </c>
    </row>
    <row r="147" spans="1:7">
      <c r="A147" s="1" t="s">
        <v>36</v>
      </c>
      <c r="B147" s="1" t="s">
        <v>37</v>
      </c>
      <c r="C147" s="2" t="s">
        <v>6</v>
      </c>
      <c r="D147" s="4">
        <v>0.36233749999999998</v>
      </c>
      <c r="E147" s="1">
        <v>5.0000000000000001E-3</v>
      </c>
      <c r="F147" s="4">
        <f t="shared" si="4"/>
        <v>0.35733749999999997</v>
      </c>
      <c r="G147" s="1">
        <f t="shared" si="5"/>
        <v>15.366256874999998</v>
      </c>
    </row>
    <row r="148" spans="1:7">
      <c r="A148" s="1" t="s">
        <v>36</v>
      </c>
      <c r="B148" s="1" t="s">
        <v>37</v>
      </c>
      <c r="C148" s="2" t="s">
        <v>7</v>
      </c>
      <c r="D148" s="4">
        <v>0.39873750000000002</v>
      </c>
      <c r="E148" s="1">
        <v>5.0000000000000001E-3</v>
      </c>
      <c r="F148" s="4">
        <f t="shared" si="4"/>
        <v>0.39373750000000002</v>
      </c>
      <c r="G148" s="1">
        <f t="shared" si="5"/>
        <v>16.928908875000001</v>
      </c>
    </row>
    <row r="149" spans="1:7">
      <c r="A149" s="1" t="s">
        <v>36</v>
      </c>
      <c r="B149" s="1" t="s">
        <v>37</v>
      </c>
      <c r="C149" s="2" t="s">
        <v>8</v>
      </c>
      <c r="D149" s="4">
        <v>0.36393750000000002</v>
      </c>
      <c r="E149" s="1">
        <v>5.0000000000000001E-3</v>
      </c>
      <c r="F149" s="4">
        <f t="shared" si="4"/>
        <v>0.35893750000000002</v>
      </c>
      <c r="G149" s="1">
        <f t="shared" si="5"/>
        <v>15.434944875000001</v>
      </c>
    </row>
    <row r="150" spans="1:7">
      <c r="A150" s="1" t="s">
        <v>36</v>
      </c>
      <c r="B150" s="1" t="s">
        <v>37</v>
      </c>
      <c r="C150" s="2" t="s">
        <v>10</v>
      </c>
      <c r="D150" s="4">
        <v>0.36853750000000002</v>
      </c>
      <c r="E150" s="1">
        <v>5.0000000000000001E-3</v>
      </c>
      <c r="F150" s="4">
        <f t="shared" si="4"/>
        <v>0.36353750000000001</v>
      </c>
      <c r="G150" s="1">
        <f t="shared" si="5"/>
        <v>15.632422875000001</v>
      </c>
    </row>
    <row r="151" spans="1:7">
      <c r="A151" s="1" t="s">
        <v>36</v>
      </c>
      <c r="B151" s="1" t="s">
        <v>37</v>
      </c>
      <c r="C151" s="2" t="s">
        <v>11</v>
      </c>
      <c r="D151" s="4">
        <v>0.27894999999999998</v>
      </c>
      <c r="E151" s="1">
        <v>5.0000000000000001E-3</v>
      </c>
      <c r="F151" s="4">
        <f t="shared" si="4"/>
        <v>0.27394999999999997</v>
      </c>
      <c r="G151" s="1">
        <f t="shared" si="5"/>
        <v>11.786431499999999</v>
      </c>
    </row>
    <row r="152" spans="1:7">
      <c r="A152" s="1" t="s">
        <v>36</v>
      </c>
      <c r="B152" s="1" t="s">
        <v>37</v>
      </c>
      <c r="C152" s="2" t="s">
        <v>12</v>
      </c>
      <c r="D152" s="4">
        <v>0.39673750000000002</v>
      </c>
      <c r="E152" s="1">
        <v>5.0000000000000001E-3</v>
      </c>
      <c r="F152" s="4">
        <f t="shared" si="4"/>
        <v>0.39173750000000002</v>
      </c>
      <c r="G152" s="1">
        <f t="shared" si="5"/>
        <v>16.843048875000001</v>
      </c>
    </row>
    <row r="153" spans="1:7">
      <c r="A153" s="1" t="s">
        <v>36</v>
      </c>
      <c r="B153" s="1" t="s">
        <v>37</v>
      </c>
      <c r="C153" s="2" t="s">
        <v>14</v>
      </c>
      <c r="D153" s="4">
        <v>0.31503750000000003</v>
      </c>
      <c r="E153" s="1">
        <v>5.0000000000000001E-3</v>
      </c>
      <c r="F153" s="4">
        <f t="shared" si="4"/>
        <v>0.31003750000000002</v>
      </c>
      <c r="G153" s="1">
        <f t="shared" si="5"/>
        <v>13.335667875</v>
      </c>
    </row>
    <row r="154" spans="1:7">
      <c r="A154" s="1" t="s">
        <v>36</v>
      </c>
      <c r="B154" s="1" t="s">
        <v>37</v>
      </c>
      <c r="C154" s="2" t="s">
        <v>15</v>
      </c>
      <c r="D154" s="4">
        <v>0.35473749999999998</v>
      </c>
      <c r="E154" s="1">
        <v>5.0000000000000001E-3</v>
      </c>
      <c r="F154" s="4">
        <f t="shared" si="4"/>
        <v>0.34973749999999998</v>
      </c>
      <c r="G154" s="1">
        <f t="shared" si="5"/>
        <v>15.039988874999999</v>
      </c>
    </row>
    <row r="155" spans="1:7">
      <c r="A155" s="1" t="s">
        <v>36</v>
      </c>
      <c r="B155" s="1" t="s">
        <v>37</v>
      </c>
      <c r="C155" s="2" t="s">
        <v>16</v>
      </c>
      <c r="D155" s="4">
        <v>0.37393749999999998</v>
      </c>
      <c r="E155" s="1">
        <v>5.0000000000000001E-3</v>
      </c>
      <c r="F155" s="4">
        <f t="shared" si="4"/>
        <v>0.36893749999999997</v>
      </c>
      <c r="G155" s="1">
        <f t="shared" si="5"/>
        <v>15.864244874999999</v>
      </c>
    </row>
    <row r="156" spans="1:7">
      <c r="A156" s="1" t="s">
        <v>36</v>
      </c>
      <c r="B156" s="1" t="s">
        <v>37</v>
      </c>
      <c r="C156" s="2" t="s">
        <v>18</v>
      </c>
      <c r="D156" s="4">
        <v>0.2870375</v>
      </c>
      <c r="E156" s="1">
        <v>5.0000000000000001E-3</v>
      </c>
      <c r="F156" s="4">
        <f t="shared" si="4"/>
        <v>0.2820375</v>
      </c>
      <c r="G156" s="1">
        <f t="shared" si="5"/>
        <v>12.133627875</v>
      </c>
    </row>
    <row r="157" spans="1:7">
      <c r="A157" s="1" t="s">
        <v>36</v>
      </c>
      <c r="B157" s="1" t="s">
        <v>37</v>
      </c>
      <c r="C157" s="2" t="s">
        <v>19</v>
      </c>
      <c r="D157" s="4">
        <v>0.34775</v>
      </c>
      <c r="E157" s="1">
        <v>5.0000000000000001E-3</v>
      </c>
      <c r="F157" s="4">
        <f t="shared" si="4"/>
        <v>0.34275</v>
      </c>
      <c r="G157" s="1">
        <f t="shared" si="5"/>
        <v>14.7400155</v>
      </c>
    </row>
    <row r="158" spans="1:7">
      <c r="A158" s="1" t="s">
        <v>36</v>
      </c>
      <c r="B158" s="1" t="s">
        <v>37</v>
      </c>
      <c r="C158" s="2" t="s">
        <v>20</v>
      </c>
      <c r="D158" s="4">
        <v>0.3480375</v>
      </c>
      <c r="E158" s="1">
        <v>5.0000000000000001E-3</v>
      </c>
      <c r="F158" s="4">
        <f t="shared" si="4"/>
        <v>0.3430375</v>
      </c>
      <c r="G158" s="1">
        <f t="shared" si="5"/>
        <v>14.752357875</v>
      </c>
    </row>
    <row r="159" spans="1:7">
      <c r="A159" s="1" t="s">
        <v>36</v>
      </c>
      <c r="B159" s="1" t="s">
        <v>37</v>
      </c>
      <c r="C159" s="2" t="s">
        <v>22</v>
      </c>
      <c r="D159" s="4">
        <v>0.35503750000000001</v>
      </c>
      <c r="E159" s="1">
        <v>5.0000000000000001E-3</v>
      </c>
      <c r="F159" s="4">
        <f t="shared" si="4"/>
        <v>0.3500375</v>
      </c>
      <c r="G159" s="1">
        <f t="shared" si="5"/>
        <v>15.052867874999997</v>
      </c>
    </row>
    <row r="160" spans="1:7">
      <c r="A160" s="1" t="s">
        <v>36</v>
      </c>
      <c r="B160" s="1" t="s">
        <v>37</v>
      </c>
      <c r="C160" s="2" t="s">
        <v>23</v>
      </c>
      <c r="D160" s="4">
        <v>0.40663749999999999</v>
      </c>
      <c r="E160" s="1">
        <v>5.0000000000000001E-3</v>
      </c>
      <c r="F160" s="4">
        <f t="shared" si="4"/>
        <v>0.40163749999999998</v>
      </c>
      <c r="G160" s="1">
        <f t="shared" si="5"/>
        <v>17.268055874999998</v>
      </c>
    </row>
    <row r="161" spans="1:7">
      <c r="A161" s="1" t="s">
        <v>36</v>
      </c>
      <c r="B161" s="1" t="s">
        <v>37</v>
      </c>
      <c r="C161" s="2" t="s">
        <v>24</v>
      </c>
      <c r="D161" s="4">
        <v>0.31253750000000002</v>
      </c>
      <c r="E161" s="1">
        <v>5.0000000000000001E-3</v>
      </c>
      <c r="F161" s="4">
        <f t="shared" si="4"/>
        <v>0.30753750000000002</v>
      </c>
      <c r="G161" s="1">
        <f t="shared" si="5"/>
        <v>13.228342874999999</v>
      </c>
    </row>
    <row r="162" spans="1:7">
      <c r="A162" s="1" t="s">
        <v>36</v>
      </c>
      <c r="B162" s="1" t="s">
        <v>37</v>
      </c>
      <c r="C162" s="2" t="s">
        <v>26</v>
      </c>
      <c r="D162" s="4">
        <v>0.26423750000000001</v>
      </c>
      <c r="E162" s="1">
        <v>5.0000000000000001E-3</v>
      </c>
      <c r="F162" s="4">
        <f t="shared" si="4"/>
        <v>0.25923750000000001</v>
      </c>
      <c r="G162" s="1">
        <f t="shared" si="5"/>
        <v>11.154823875</v>
      </c>
    </row>
    <row r="163" spans="1:7">
      <c r="A163" s="1" t="s">
        <v>36</v>
      </c>
      <c r="B163" s="1" t="s">
        <v>37</v>
      </c>
      <c r="C163" s="2" t="s">
        <v>27</v>
      </c>
      <c r="D163" s="4">
        <v>0.30943749999999998</v>
      </c>
      <c r="E163" s="1">
        <v>5.0000000000000001E-3</v>
      </c>
      <c r="F163" s="4">
        <f t="shared" si="4"/>
        <v>0.30443749999999997</v>
      </c>
      <c r="G163" s="1">
        <f t="shared" si="5"/>
        <v>13.095259874999998</v>
      </c>
    </row>
    <row r="164" spans="1:7">
      <c r="A164" s="1" t="s">
        <v>36</v>
      </c>
      <c r="B164" s="1" t="s">
        <v>38</v>
      </c>
      <c r="C164" s="2" t="s">
        <v>4</v>
      </c>
      <c r="D164" s="4">
        <v>0.25873750000000001</v>
      </c>
      <c r="E164" s="1">
        <v>5.0000000000000001E-3</v>
      </c>
      <c r="F164" s="4">
        <f t="shared" si="4"/>
        <v>0.2537375</v>
      </c>
      <c r="G164" s="1">
        <f t="shared" si="5"/>
        <v>10.918708874999998</v>
      </c>
    </row>
    <row r="165" spans="1:7">
      <c r="A165" s="1" t="s">
        <v>36</v>
      </c>
      <c r="B165" s="1" t="s">
        <v>38</v>
      </c>
      <c r="C165" s="2" t="s">
        <v>6</v>
      </c>
      <c r="D165" s="4">
        <v>0.32093749999999999</v>
      </c>
      <c r="E165" s="1">
        <v>5.0000000000000001E-3</v>
      </c>
      <c r="F165" s="4">
        <f t="shared" si="4"/>
        <v>0.31593749999999998</v>
      </c>
      <c r="G165" s="1">
        <f t="shared" si="5"/>
        <v>13.588954874999997</v>
      </c>
    </row>
    <row r="166" spans="1:7">
      <c r="A166" s="1" t="s">
        <v>36</v>
      </c>
      <c r="B166" s="1" t="s">
        <v>38</v>
      </c>
      <c r="C166" s="2" t="s">
        <v>7</v>
      </c>
      <c r="D166" s="4">
        <v>0.2374375</v>
      </c>
      <c r="E166" s="1">
        <v>5.0000000000000001E-3</v>
      </c>
      <c r="F166" s="4">
        <f t="shared" si="4"/>
        <v>0.23243749999999999</v>
      </c>
      <c r="G166" s="1">
        <f t="shared" si="5"/>
        <v>10.004299874999999</v>
      </c>
    </row>
    <row r="167" spans="1:7">
      <c r="A167" s="1" t="s">
        <v>36</v>
      </c>
      <c r="B167" s="1" t="s">
        <v>38</v>
      </c>
      <c r="C167" s="2" t="s">
        <v>8</v>
      </c>
      <c r="D167" s="4">
        <v>0.18643750000000001</v>
      </c>
      <c r="E167" s="1">
        <v>5.0000000000000001E-3</v>
      </c>
      <c r="F167" s="4">
        <f t="shared" si="4"/>
        <v>0.1814375</v>
      </c>
      <c r="G167" s="1">
        <f t="shared" si="5"/>
        <v>7.8148698749999994</v>
      </c>
    </row>
    <row r="168" spans="1:7">
      <c r="A168" s="1" t="s">
        <v>36</v>
      </c>
      <c r="B168" s="1" t="s">
        <v>38</v>
      </c>
      <c r="C168" s="2" t="s">
        <v>10</v>
      </c>
      <c r="D168" s="4">
        <v>0.22043750000000001</v>
      </c>
      <c r="E168" s="1">
        <v>5.0000000000000001E-3</v>
      </c>
      <c r="F168" s="4">
        <f t="shared" si="4"/>
        <v>0.2154375</v>
      </c>
      <c r="G168" s="1">
        <f t="shared" si="5"/>
        <v>9.2744898750000004</v>
      </c>
    </row>
    <row r="169" spans="1:7">
      <c r="A169" s="1" t="s">
        <v>36</v>
      </c>
      <c r="B169" s="1" t="s">
        <v>38</v>
      </c>
      <c r="C169" s="2" t="s">
        <v>11</v>
      </c>
      <c r="D169" s="4">
        <v>0.1910375</v>
      </c>
      <c r="E169" s="1">
        <v>5.0000000000000001E-3</v>
      </c>
      <c r="F169" s="4">
        <f t="shared" si="4"/>
        <v>0.18603749999999999</v>
      </c>
      <c r="G169" s="1">
        <f t="shared" si="5"/>
        <v>8.0123478749999997</v>
      </c>
    </row>
    <row r="170" spans="1:7">
      <c r="A170" s="1" t="s">
        <v>36</v>
      </c>
      <c r="B170" s="1" t="s">
        <v>38</v>
      </c>
      <c r="C170" s="2" t="s">
        <v>12</v>
      </c>
      <c r="D170" s="4">
        <v>0.2311375</v>
      </c>
      <c r="E170" s="1">
        <v>5.0000000000000001E-3</v>
      </c>
      <c r="F170" s="4">
        <f t="shared" si="4"/>
        <v>0.22613749999999999</v>
      </c>
      <c r="G170" s="1">
        <f t="shared" si="5"/>
        <v>9.7338408749999985</v>
      </c>
    </row>
    <row r="171" spans="1:7">
      <c r="A171" s="1" t="s">
        <v>36</v>
      </c>
      <c r="B171" s="1" t="s">
        <v>38</v>
      </c>
      <c r="C171" s="2" t="s">
        <v>14</v>
      </c>
      <c r="D171" s="4">
        <v>0.28573749999999998</v>
      </c>
      <c r="E171" s="1">
        <v>5.0000000000000001E-3</v>
      </c>
      <c r="F171" s="4">
        <f t="shared" si="4"/>
        <v>0.28073749999999997</v>
      </c>
      <c r="G171" s="1">
        <f t="shared" si="5"/>
        <v>12.077818874999998</v>
      </c>
    </row>
    <row r="172" spans="1:7">
      <c r="A172" s="1" t="s">
        <v>36</v>
      </c>
      <c r="B172" s="1" t="s">
        <v>38</v>
      </c>
      <c r="C172" s="2" t="s">
        <v>15</v>
      </c>
      <c r="D172" s="4">
        <v>0.47663749999999999</v>
      </c>
      <c r="E172" s="1">
        <v>5.0000000000000001E-3</v>
      </c>
      <c r="F172" s="4">
        <f t="shared" si="4"/>
        <v>0.47163749999999999</v>
      </c>
      <c r="G172" s="1">
        <f t="shared" si="5"/>
        <v>20.273155875</v>
      </c>
    </row>
    <row r="173" spans="1:7">
      <c r="A173" s="1" t="s">
        <v>36</v>
      </c>
      <c r="B173" s="1" t="s">
        <v>38</v>
      </c>
      <c r="C173" s="2" t="s">
        <v>16</v>
      </c>
      <c r="D173" s="4">
        <v>0.17043749999999999</v>
      </c>
      <c r="E173" s="1">
        <v>5.0000000000000001E-3</v>
      </c>
      <c r="F173" s="4">
        <f t="shared" si="4"/>
        <v>0.16543749999999999</v>
      </c>
      <c r="G173" s="1">
        <f t="shared" si="5"/>
        <v>7.1279898749999981</v>
      </c>
    </row>
    <row r="174" spans="1:7">
      <c r="A174" s="1" t="s">
        <v>36</v>
      </c>
      <c r="B174" s="1" t="s">
        <v>38</v>
      </c>
      <c r="C174" s="2" t="s">
        <v>18</v>
      </c>
      <c r="D174" s="4">
        <v>0.20923749999999999</v>
      </c>
      <c r="E174" s="1">
        <v>5.0000000000000001E-3</v>
      </c>
      <c r="F174" s="4">
        <f t="shared" si="4"/>
        <v>0.20423749999999999</v>
      </c>
      <c r="G174" s="1">
        <f t="shared" si="5"/>
        <v>8.7936738749999996</v>
      </c>
    </row>
    <row r="175" spans="1:7">
      <c r="A175" s="1" t="s">
        <v>36</v>
      </c>
      <c r="B175" s="1" t="s">
        <v>38</v>
      </c>
      <c r="C175" s="2" t="s">
        <v>19</v>
      </c>
      <c r="D175" s="4">
        <v>0.2250375</v>
      </c>
      <c r="E175" s="1">
        <v>5.0000000000000001E-3</v>
      </c>
      <c r="F175" s="4">
        <f t="shared" si="4"/>
        <v>0.2200375</v>
      </c>
      <c r="G175" s="1">
        <f t="shared" si="5"/>
        <v>9.4719678749999972</v>
      </c>
    </row>
    <row r="176" spans="1:7">
      <c r="A176" s="1" t="s">
        <v>36</v>
      </c>
      <c r="B176" s="1" t="s">
        <v>38</v>
      </c>
      <c r="C176" s="2" t="s">
        <v>20</v>
      </c>
      <c r="D176" s="4">
        <v>0.20733750000000001</v>
      </c>
      <c r="E176" s="1">
        <v>5.0000000000000001E-3</v>
      </c>
      <c r="F176" s="4">
        <f t="shared" si="4"/>
        <v>0.2023375</v>
      </c>
      <c r="G176" s="1">
        <f t="shared" si="5"/>
        <v>8.7121068749999999</v>
      </c>
    </row>
    <row r="177" spans="1:7">
      <c r="A177" s="1" t="s">
        <v>36</v>
      </c>
      <c r="B177" s="1" t="s">
        <v>38</v>
      </c>
      <c r="C177" s="2" t="s">
        <v>22</v>
      </c>
      <c r="D177" s="4">
        <v>0.26753749999999998</v>
      </c>
      <c r="E177" s="1">
        <v>5.0000000000000001E-3</v>
      </c>
      <c r="F177" s="4">
        <f t="shared" si="4"/>
        <v>0.26253749999999998</v>
      </c>
      <c r="G177" s="1">
        <f t="shared" si="5"/>
        <v>11.296492875</v>
      </c>
    </row>
    <row r="178" spans="1:7">
      <c r="A178" s="1" t="s">
        <v>36</v>
      </c>
      <c r="B178" s="1" t="s">
        <v>38</v>
      </c>
      <c r="C178" s="2" t="s">
        <v>23</v>
      </c>
      <c r="D178" s="4">
        <v>0.47483750000000002</v>
      </c>
      <c r="E178" s="1">
        <v>5.0000000000000001E-3</v>
      </c>
      <c r="F178" s="4">
        <f t="shared" si="4"/>
        <v>0.46983750000000002</v>
      </c>
      <c r="G178" s="1">
        <f t="shared" si="5"/>
        <v>20.195881874999998</v>
      </c>
    </row>
    <row r="179" spans="1:7">
      <c r="A179" s="1" t="s">
        <v>36</v>
      </c>
      <c r="B179" s="1" t="s">
        <v>38</v>
      </c>
      <c r="C179" s="2" t="s">
        <v>24</v>
      </c>
      <c r="D179" s="4">
        <v>0.17883750000000001</v>
      </c>
      <c r="E179" s="1">
        <v>5.0000000000000001E-3</v>
      </c>
      <c r="F179" s="4">
        <f t="shared" si="4"/>
        <v>0.17383750000000001</v>
      </c>
      <c r="G179" s="1">
        <f t="shared" si="5"/>
        <v>7.4886018750000005</v>
      </c>
    </row>
    <row r="180" spans="1:7">
      <c r="A180" s="1" t="s">
        <v>36</v>
      </c>
      <c r="B180" s="1" t="s">
        <v>38</v>
      </c>
      <c r="C180" s="2" t="s">
        <v>26</v>
      </c>
      <c r="D180" s="4">
        <v>0.29983749999999998</v>
      </c>
      <c r="E180" s="1">
        <v>5.0000000000000001E-3</v>
      </c>
      <c r="F180" s="4">
        <f t="shared" si="4"/>
        <v>0.29483749999999997</v>
      </c>
      <c r="G180" s="1">
        <f t="shared" si="5"/>
        <v>12.683131874999997</v>
      </c>
    </row>
    <row r="181" spans="1:7">
      <c r="A181" s="1" t="s">
        <v>36</v>
      </c>
      <c r="B181" s="1" t="s">
        <v>38</v>
      </c>
      <c r="C181" s="2" t="s">
        <v>27</v>
      </c>
      <c r="D181" s="4">
        <v>0.29823749999999999</v>
      </c>
      <c r="E181" s="1">
        <v>5.0000000000000001E-3</v>
      </c>
      <c r="F181" s="4">
        <f t="shared" si="4"/>
        <v>0.29323749999999998</v>
      </c>
      <c r="G181" s="1">
        <f t="shared" si="5"/>
        <v>12.614443874999997</v>
      </c>
    </row>
    <row r="182" spans="1:7">
      <c r="A182" s="1" t="s">
        <v>36</v>
      </c>
      <c r="B182" s="1" t="s">
        <v>39</v>
      </c>
      <c r="C182" s="2" t="s">
        <v>4</v>
      </c>
      <c r="D182" s="4">
        <v>0.25214166666666699</v>
      </c>
      <c r="E182" s="1">
        <v>5.0000000000000001E-3</v>
      </c>
      <c r="F182" s="4">
        <f t="shared" si="4"/>
        <v>0.24714166666666698</v>
      </c>
      <c r="G182" s="1">
        <f t="shared" si="5"/>
        <v>10.635549750000013</v>
      </c>
    </row>
    <row r="183" spans="1:7">
      <c r="A183" s="1" t="s">
        <v>36</v>
      </c>
      <c r="B183" s="1" t="s">
        <v>39</v>
      </c>
      <c r="C183" s="2" t="s">
        <v>6</v>
      </c>
      <c r="D183" s="4">
        <v>0.32694166666666702</v>
      </c>
      <c r="E183" s="1">
        <v>5.0000000000000001E-3</v>
      </c>
      <c r="F183" s="4">
        <f t="shared" si="4"/>
        <v>0.32194166666666701</v>
      </c>
      <c r="G183" s="1">
        <f t="shared" si="5"/>
        <v>13.846713750000013</v>
      </c>
    </row>
    <row r="184" spans="1:7">
      <c r="A184" s="1" t="s">
        <v>36</v>
      </c>
      <c r="B184" s="1" t="s">
        <v>39</v>
      </c>
      <c r="C184" s="2" t="s">
        <v>7</v>
      </c>
      <c r="D184" s="4">
        <v>0.312541666666667</v>
      </c>
      <c r="E184" s="1">
        <v>5.0000000000000001E-3</v>
      </c>
      <c r="F184" s="4">
        <f t="shared" si="4"/>
        <v>0.30754166666666699</v>
      </c>
      <c r="G184" s="1">
        <f t="shared" si="5"/>
        <v>13.228521750000013</v>
      </c>
    </row>
    <row r="185" spans="1:7">
      <c r="A185" s="1" t="s">
        <v>36</v>
      </c>
      <c r="B185" s="1" t="s">
        <v>39</v>
      </c>
      <c r="C185" s="2" t="s">
        <v>8</v>
      </c>
      <c r="D185" s="4">
        <v>0.28954166666666697</v>
      </c>
      <c r="E185" s="1">
        <v>5.0000000000000001E-3</v>
      </c>
      <c r="F185" s="4">
        <f t="shared" si="4"/>
        <v>0.28454166666666697</v>
      </c>
      <c r="G185" s="1">
        <f t="shared" si="5"/>
        <v>12.241131750000013</v>
      </c>
    </row>
    <row r="186" spans="1:7">
      <c r="A186" s="1" t="s">
        <v>36</v>
      </c>
      <c r="B186" s="1" t="s">
        <v>39</v>
      </c>
      <c r="C186" s="2" t="s">
        <v>10</v>
      </c>
      <c r="D186" s="4">
        <v>0.292841666666667</v>
      </c>
      <c r="E186" s="1">
        <v>5.0000000000000001E-3</v>
      </c>
      <c r="F186" s="4">
        <f t="shared" si="4"/>
        <v>0.287841666666667</v>
      </c>
      <c r="G186" s="1">
        <f t="shared" si="5"/>
        <v>12.382800750000014</v>
      </c>
    </row>
    <row r="187" spans="1:7">
      <c r="A187" s="1" t="s">
        <v>36</v>
      </c>
      <c r="B187" s="1" t="s">
        <v>39</v>
      </c>
      <c r="C187" s="2" t="s">
        <v>11</v>
      </c>
      <c r="D187" s="4">
        <v>0.32824166666666699</v>
      </c>
      <c r="E187" s="1">
        <v>5.0000000000000001E-3</v>
      </c>
      <c r="F187" s="4">
        <f t="shared" si="4"/>
        <v>0.32324166666666698</v>
      </c>
      <c r="G187" s="1">
        <f t="shared" si="5"/>
        <v>13.902522750000012</v>
      </c>
    </row>
    <row r="188" spans="1:7">
      <c r="A188" s="1" t="s">
        <v>36</v>
      </c>
      <c r="B188" s="1" t="s">
        <v>39</v>
      </c>
      <c r="C188" s="2" t="s">
        <v>12</v>
      </c>
      <c r="D188" s="4">
        <v>0.32894166666666702</v>
      </c>
      <c r="E188" s="1">
        <v>5.0000000000000001E-3</v>
      </c>
      <c r="F188" s="4">
        <f t="shared" si="4"/>
        <v>0.32394166666666702</v>
      </c>
      <c r="G188" s="1">
        <f t="shared" si="5"/>
        <v>13.932573750000016</v>
      </c>
    </row>
    <row r="189" spans="1:7">
      <c r="A189" s="1" t="s">
        <v>36</v>
      </c>
      <c r="B189" s="1" t="s">
        <v>39</v>
      </c>
      <c r="C189" s="2" t="s">
        <v>14</v>
      </c>
      <c r="D189" s="4">
        <v>0.21784166666666699</v>
      </c>
      <c r="E189" s="1">
        <v>5.0000000000000001E-3</v>
      </c>
      <c r="F189" s="4">
        <f t="shared" si="4"/>
        <v>0.21284166666666698</v>
      </c>
      <c r="G189" s="1">
        <f t="shared" si="5"/>
        <v>9.1630507500000142</v>
      </c>
    </row>
    <row r="190" spans="1:7">
      <c r="A190" s="1" t="s">
        <v>36</v>
      </c>
      <c r="B190" s="1" t="s">
        <v>39</v>
      </c>
      <c r="C190" s="2" t="s">
        <v>15</v>
      </c>
      <c r="D190" s="4">
        <v>0.27304166666666702</v>
      </c>
      <c r="E190" s="1">
        <v>5.0000000000000001E-3</v>
      </c>
      <c r="F190" s="4">
        <f t="shared" si="4"/>
        <v>0.26804166666666701</v>
      </c>
      <c r="G190" s="1">
        <f t="shared" si="5"/>
        <v>11.532786750000016</v>
      </c>
    </row>
    <row r="191" spans="1:7">
      <c r="A191" s="1" t="s">
        <v>36</v>
      </c>
      <c r="B191" s="1" t="s">
        <v>39</v>
      </c>
      <c r="C191" s="2" t="s">
        <v>16</v>
      </c>
      <c r="D191" s="4">
        <v>0.25444166666666701</v>
      </c>
      <c r="E191" s="1">
        <v>5.0000000000000001E-3</v>
      </c>
      <c r="F191" s="4">
        <f t="shared" si="4"/>
        <v>0.24944166666666701</v>
      </c>
      <c r="G191" s="1">
        <f t="shared" si="5"/>
        <v>10.734288750000015</v>
      </c>
    </row>
    <row r="192" spans="1:7">
      <c r="A192" s="1" t="s">
        <v>36</v>
      </c>
      <c r="B192" s="1" t="s">
        <v>39</v>
      </c>
      <c r="C192" s="2" t="s">
        <v>18</v>
      </c>
      <c r="D192" s="4">
        <v>0.31584166666666702</v>
      </c>
      <c r="E192" s="1">
        <v>5.0000000000000001E-3</v>
      </c>
      <c r="F192" s="4">
        <f t="shared" si="4"/>
        <v>0.31084166666666702</v>
      </c>
      <c r="G192" s="1">
        <f t="shared" si="5"/>
        <v>13.370190750000015</v>
      </c>
    </row>
    <row r="193" spans="1:7">
      <c r="A193" s="1" t="s">
        <v>36</v>
      </c>
      <c r="B193" s="1" t="s">
        <v>39</v>
      </c>
      <c r="C193" s="2" t="s">
        <v>19</v>
      </c>
      <c r="D193" s="4">
        <v>0.37534166666666702</v>
      </c>
      <c r="E193" s="1">
        <v>5.0000000000000001E-3</v>
      </c>
      <c r="F193" s="4">
        <f t="shared" si="4"/>
        <v>0.37034166666666701</v>
      </c>
      <c r="G193" s="1">
        <f t="shared" si="5"/>
        <v>15.924525750000015</v>
      </c>
    </row>
    <row r="194" spans="1:7">
      <c r="A194" s="1" t="s">
        <v>36</v>
      </c>
      <c r="B194" s="1" t="s">
        <v>39</v>
      </c>
      <c r="C194" s="2" t="s">
        <v>20</v>
      </c>
      <c r="D194" s="4">
        <v>0.31544166666666701</v>
      </c>
      <c r="E194" s="1">
        <v>5.0000000000000001E-3</v>
      </c>
      <c r="F194" s="4">
        <f t="shared" si="4"/>
        <v>0.310441666666667</v>
      </c>
      <c r="G194" s="1">
        <f t="shared" si="5"/>
        <v>13.353018750000015</v>
      </c>
    </row>
    <row r="195" spans="1:7">
      <c r="A195" s="1" t="s">
        <v>36</v>
      </c>
      <c r="B195" s="1" t="s">
        <v>39</v>
      </c>
      <c r="C195" s="2" t="s">
        <v>22</v>
      </c>
      <c r="D195" s="4">
        <v>0.26674166666666699</v>
      </c>
      <c r="E195" s="1">
        <v>5.0000000000000001E-3</v>
      </c>
      <c r="F195" s="4">
        <f t="shared" ref="F195:F258" si="6">D195-E195</f>
        <v>0.26174166666666698</v>
      </c>
      <c r="G195" s="1">
        <f t="shared" ref="G195:G258" si="7">0.2862*(F195+0.0006)*1.5/0.01</f>
        <v>11.262327750000015</v>
      </c>
    </row>
    <row r="196" spans="1:7">
      <c r="A196" s="1" t="s">
        <v>36</v>
      </c>
      <c r="B196" s="1" t="s">
        <v>39</v>
      </c>
      <c r="C196" s="2" t="s">
        <v>23</v>
      </c>
      <c r="D196" s="4">
        <v>0.29454166666666698</v>
      </c>
      <c r="E196" s="1">
        <v>5.0000000000000001E-3</v>
      </c>
      <c r="F196" s="4">
        <f t="shared" si="6"/>
        <v>0.28954166666666697</v>
      </c>
      <c r="G196" s="1">
        <f t="shared" si="7"/>
        <v>12.455781750000014</v>
      </c>
    </row>
    <row r="197" spans="1:7">
      <c r="A197" s="1" t="s">
        <v>36</v>
      </c>
      <c r="B197" s="1" t="s">
        <v>39</v>
      </c>
      <c r="C197" s="2" t="s">
        <v>24</v>
      </c>
      <c r="D197" s="4">
        <v>0.32234166666666703</v>
      </c>
      <c r="E197" s="1">
        <v>5.0000000000000001E-3</v>
      </c>
      <c r="F197" s="4">
        <f t="shared" si="6"/>
        <v>0.31734166666666702</v>
      </c>
      <c r="G197" s="1">
        <f t="shared" si="7"/>
        <v>13.649235750000015</v>
      </c>
    </row>
    <row r="198" spans="1:7">
      <c r="A198" s="1" t="s">
        <v>36</v>
      </c>
      <c r="B198" s="1" t="s">
        <v>39</v>
      </c>
      <c r="C198" s="2" t="s">
        <v>26</v>
      </c>
      <c r="D198" s="4">
        <v>0.33144166666666702</v>
      </c>
      <c r="E198" s="1">
        <v>5.0000000000000001E-3</v>
      </c>
      <c r="F198" s="4">
        <f t="shared" si="6"/>
        <v>0.32644166666666702</v>
      </c>
      <c r="G198" s="1">
        <f t="shared" si="7"/>
        <v>14.039898750000013</v>
      </c>
    </row>
    <row r="199" spans="1:7">
      <c r="A199" s="1" t="s">
        <v>36</v>
      </c>
      <c r="B199" s="1" t="s">
        <v>39</v>
      </c>
      <c r="C199" s="2" t="s">
        <v>27</v>
      </c>
      <c r="D199" s="4">
        <v>0.32774166666666699</v>
      </c>
      <c r="E199" s="1">
        <v>5.0000000000000001E-3</v>
      </c>
      <c r="F199" s="4">
        <f t="shared" si="6"/>
        <v>0.32274166666666698</v>
      </c>
      <c r="G199" s="1">
        <f t="shared" si="7"/>
        <v>13.881057750000014</v>
      </c>
    </row>
    <row r="200" spans="1:7">
      <c r="A200" s="1" t="s">
        <v>36</v>
      </c>
      <c r="B200" s="1" t="s">
        <v>40</v>
      </c>
      <c r="C200" s="2" t="s">
        <v>4</v>
      </c>
      <c r="D200" s="4">
        <v>0.24954166666666699</v>
      </c>
      <c r="E200" s="1">
        <v>5.0000000000000001E-3</v>
      </c>
      <c r="F200" s="4">
        <f t="shared" si="6"/>
        <v>0.24454166666666699</v>
      </c>
      <c r="G200" s="1">
        <f t="shared" si="7"/>
        <v>10.523931750000012</v>
      </c>
    </row>
    <row r="201" spans="1:7">
      <c r="A201" s="1" t="s">
        <v>36</v>
      </c>
      <c r="B201" s="1" t="s">
        <v>40</v>
      </c>
      <c r="C201" s="2" t="s">
        <v>6</v>
      </c>
      <c r="D201" s="4">
        <v>0.23404166666666701</v>
      </c>
      <c r="E201" s="1">
        <v>5.0000000000000001E-3</v>
      </c>
      <c r="F201" s="4">
        <f t="shared" si="6"/>
        <v>0.229041666666667</v>
      </c>
      <c r="G201" s="1">
        <f t="shared" si="7"/>
        <v>9.8585167500000157</v>
      </c>
    </row>
    <row r="202" spans="1:7">
      <c r="A202" s="1" t="s">
        <v>36</v>
      </c>
      <c r="B202" s="1" t="s">
        <v>40</v>
      </c>
      <c r="C202" s="2" t="s">
        <v>7</v>
      </c>
      <c r="D202" s="4">
        <v>0.29204166666666698</v>
      </c>
      <c r="E202" s="1">
        <v>5.0000000000000001E-3</v>
      </c>
      <c r="F202" s="4">
        <f t="shared" si="6"/>
        <v>0.28704166666666697</v>
      </c>
      <c r="G202" s="1">
        <f t="shared" si="7"/>
        <v>12.348456750000011</v>
      </c>
    </row>
    <row r="203" spans="1:7">
      <c r="A203" s="1" t="s">
        <v>36</v>
      </c>
      <c r="B203" s="1" t="s">
        <v>40</v>
      </c>
      <c r="C203" s="2" t="s">
        <v>8</v>
      </c>
      <c r="D203" s="4">
        <v>0.22594166666666701</v>
      </c>
      <c r="E203" s="1">
        <v>5.0000000000000001E-3</v>
      </c>
      <c r="F203" s="4">
        <f t="shared" si="6"/>
        <v>0.22094166666666701</v>
      </c>
      <c r="G203" s="1">
        <f t="shared" si="7"/>
        <v>9.5107837500000141</v>
      </c>
    </row>
    <row r="204" spans="1:7">
      <c r="A204" s="1" t="s">
        <v>36</v>
      </c>
      <c r="B204" s="1" t="s">
        <v>40</v>
      </c>
      <c r="C204" s="2" t="s">
        <v>10</v>
      </c>
      <c r="D204" s="4">
        <v>0.30504166666666699</v>
      </c>
      <c r="E204" s="1">
        <v>5.0000000000000001E-3</v>
      </c>
      <c r="F204" s="4">
        <f t="shared" si="6"/>
        <v>0.30004166666666698</v>
      </c>
      <c r="G204" s="1">
        <f t="shared" si="7"/>
        <v>12.906546750000015</v>
      </c>
    </row>
    <row r="205" spans="1:7">
      <c r="A205" s="1" t="s">
        <v>36</v>
      </c>
      <c r="B205" s="1" t="s">
        <v>40</v>
      </c>
      <c r="C205" s="2" t="s">
        <v>11</v>
      </c>
      <c r="D205" s="4">
        <v>0.25734166666666702</v>
      </c>
      <c r="E205" s="1">
        <v>5.0000000000000001E-3</v>
      </c>
      <c r="F205" s="4">
        <f t="shared" si="6"/>
        <v>0.25234166666666702</v>
      </c>
      <c r="G205" s="1">
        <f t="shared" si="7"/>
        <v>10.858785750000015</v>
      </c>
    </row>
    <row r="206" spans="1:7">
      <c r="A206" s="1" t="s">
        <v>36</v>
      </c>
      <c r="B206" s="1" t="s">
        <v>40</v>
      </c>
      <c r="C206" s="2" t="s">
        <v>12</v>
      </c>
      <c r="D206" s="4">
        <v>0.338741666666667</v>
      </c>
      <c r="E206" s="1">
        <v>5.0000000000000001E-3</v>
      </c>
      <c r="F206" s="4">
        <f t="shared" si="6"/>
        <v>0.33374166666666699</v>
      </c>
      <c r="G206" s="1">
        <f t="shared" si="7"/>
        <v>14.353287750000012</v>
      </c>
    </row>
    <row r="207" spans="1:7">
      <c r="A207" s="1" t="s">
        <v>36</v>
      </c>
      <c r="B207" s="1" t="s">
        <v>40</v>
      </c>
      <c r="C207" s="2" t="s">
        <v>14</v>
      </c>
      <c r="D207" s="4">
        <v>0.27484166666666698</v>
      </c>
      <c r="E207" s="1">
        <v>5.0000000000000001E-3</v>
      </c>
      <c r="F207" s="4">
        <f t="shared" si="6"/>
        <v>0.26984166666666698</v>
      </c>
      <c r="G207" s="1">
        <f t="shared" si="7"/>
        <v>11.610060750000013</v>
      </c>
    </row>
    <row r="208" spans="1:7">
      <c r="A208" s="1" t="s">
        <v>36</v>
      </c>
      <c r="B208" s="1" t="s">
        <v>40</v>
      </c>
      <c r="C208" s="2" t="s">
        <v>15</v>
      </c>
      <c r="D208" s="4">
        <v>0.34414166666666701</v>
      </c>
      <c r="E208" s="1">
        <v>5.0000000000000001E-3</v>
      </c>
      <c r="F208" s="4">
        <f t="shared" si="6"/>
        <v>0.33914166666666701</v>
      </c>
      <c r="G208" s="1">
        <f t="shared" si="7"/>
        <v>14.585109750000013</v>
      </c>
    </row>
    <row r="209" spans="1:7">
      <c r="A209" s="1" t="s">
        <v>36</v>
      </c>
      <c r="B209" s="1" t="s">
        <v>40</v>
      </c>
      <c r="C209" s="2" t="s">
        <v>16</v>
      </c>
      <c r="D209" s="4">
        <v>0.37944166666666701</v>
      </c>
      <c r="E209" s="1">
        <v>5.0000000000000001E-3</v>
      </c>
      <c r="F209" s="4">
        <f t="shared" si="6"/>
        <v>0.37444166666666701</v>
      </c>
      <c r="G209" s="1">
        <f t="shared" si="7"/>
        <v>16.100538750000016</v>
      </c>
    </row>
    <row r="210" spans="1:7">
      <c r="A210" s="1" t="s">
        <v>36</v>
      </c>
      <c r="B210" s="1" t="s">
        <v>40</v>
      </c>
      <c r="C210" s="2" t="s">
        <v>18</v>
      </c>
      <c r="D210" s="4">
        <v>0.36194166666666699</v>
      </c>
      <c r="E210" s="1">
        <v>5.0000000000000001E-3</v>
      </c>
      <c r="F210" s="4">
        <f t="shared" si="6"/>
        <v>0.35694166666666699</v>
      </c>
      <c r="G210" s="1">
        <f t="shared" si="7"/>
        <v>15.349263750000013</v>
      </c>
    </row>
    <row r="211" spans="1:7">
      <c r="A211" s="1" t="s">
        <v>36</v>
      </c>
      <c r="B211" s="1" t="s">
        <v>40</v>
      </c>
      <c r="C211" s="2" t="s">
        <v>19</v>
      </c>
      <c r="D211" s="4">
        <v>0.32244166666666702</v>
      </c>
      <c r="E211" s="1">
        <v>5.0000000000000001E-3</v>
      </c>
      <c r="F211" s="4">
        <f t="shared" si="6"/>
        <v>0.31744166666666701</v>
      </c>
      <c r="G211" s="1">
        <f t="shared" si="7"/>
        <v>13.653528750000016</v>
      </c>
    </row>
    <row r="212" spans="1:7">
      <c r="A212" s="1" t="s">
        <v>36</v>
      </c>
      <c r="B212" s="1" t="s">
        <v>40</v>
      </c>
      <c r="C212" s="2" t="s">
        <v>20</v>
      </c>
      <c r="D212" s="4">
        <v>0.30874166666666703</v>
      </c>
      <c r="E212" s="1">
        <v>5.0000000000000001E-3</v>
      </c>
      <c r="F212" s="4">
        <f t="shared" si="6"/>
        <v>0.30374166666666702</v>
      </c>
      <c r="G212" s="1">
        <f t="shared" si="7"/>
        <v>13.065387750000015</v>
      </c>
    </row>
    <row r="213" spans="1:7">
      <c r="A213" s="1" t="s">
        <v>36</v>
      </c>
      <c r="B213" s="1" t="s">
        <v>40</v>
      </c>
      <c r="C213" s="2" t="s">
        <v>22</v>
      </c>
      <c r="D213" s="4">
        <v>0.32974166666666699</v>
      </c>
      <c r="E213" s="1">
        <v>5.0000000000000001E-3</v>
      </c>
      <c r="F213" s="4">
        <f t="shared" si="6"/>
        <v>0.32474166666666698</v>
      </c>
      <c r="G213" s="1">
        <f t="shared" si="7"/>
        <v>13.966917750000013</v>
      </c>
    </row>
    <row r="214" spans="1:7">
      <c r="A214" s="1" t="s">
        <v>36</v>
      </c>
      <c r="B214" s="1" t="s">
        <v>40</v>
      </c>
      <c r="C214" s="2" t="s">
        <v>23</v>
      </c>
      <c r="D214" s="4">
        <v>0.27784166666666699</v>
      </c>
      <c r="E214" s="1">
        <v>5.0000000000000001E-3</v>
      </c>
      <c r="F214" s="4">
        <f t="shared" si="6"/>
        <v>0.27284166666666698</v>
      </c>
      <c r="G214" s="1">
        <f t="shared" si="7"/>
        <v>11.738850750000012</v>
      </c>
    </row>
    <row r="215" spans="1:7">
      <c r="A215" s="1" t="s">
        <v>36</v>
      </c>
      <c r="B215" s="1" t="s">
        <v>40</v>
      </c>
      <c r="C215" s="2" t="s">
        <v>24</v>
      </c>
      <c r="D215" s="4">
        <v>0.27804166666666702</v>
      </c>
      <c r="E215" s="1">
        <v>5.0000000000000001E-3</v>
      </c>
      <c r="F215" s="4">
        <f t="shared" si="6"/>
        <v>0.27304166666666702</v>
      </c>
      <c r="G215" s="1">
        <f t="shared" si="7"/>
        <v>11.747436750000015</v>
      </c>
    </row>
    <row r="216" spans="1:7">
      <c r="A216" s="1" t="s">
        <v>36</v>
      </c>
      <c r="B216" s="1" t="s">
        <v>40</v>
      </c>
      <c r="C216" s="2" t="s">
        <v>26</v>
      </c>
      <c r="D216" s="4">
        <v>0.27284166666666698</v>
      </c>
      <c r="E216" s="1">
        <v>5.0000000000000001E-3</v>
      </c>
      <c r="F216" s="4">
        <f t="shared" si="6"/>
        <v>0.26784166666666698</v>
      </c>
      <c r="G216" s="1">
        <f t="shared" si="7"/>
        <v>11.524200750000013</v>
      </c>
    </row>
    <row r="217" spans="1:7">
      <c r="A217" s="1" t="s">
        <v>36</v>
      </c>
      <c r="B217" s="1" t="s">
        <v>40</v>
      </c>
      <c r="C217" s="2" t="s">
        <v>27</v>
      </c>
      <c r="D217" s="4">
        <v>0.30674166666666702</v>
      </c>
      <c r="E217" s="1">
        <v>5.0000000000000001E-3</v>
      </c>
      <c r="F217" s="4">
        <f t="shared" si="6"/>
        <v>0.30174166666666702</v>
      </c>
      <c r="G217" s="1">
        <f t="shared" si="7"/>
        <v>12.979527750000017</v>
      </c>
    </row>
    <row r="218" spans="1:7">
      <c r="A218" s="1" t="s">
        <v>36</v>
      </c>
      <c r="B218" s="1" t="s">
        <v>41</v>
      </c>
      <c r="C218" s="2" t="s">
        <v>4</v>
      </c>
      <c r="D218" s="4">
        <v>0.38068750000000001</v>
      </c>
      <c r="E218" s="1">
        <v>5.0000000000000001E-3</v>
      </c>
      <c r="F218" s="4">
        <f t="shared" si="6"/>
        <v>0.37568750000000001</v>
      </c>
      <c r="G218" s="1">
        <f t="shared" si="7"/>
        <v>16.154022375</v>
      </c>
    </row>
    <row r="219" spans="1:7">
      <c r="A219" s="1" t="s">
        <v>36</v>
      </c>
      <c r="B219" s="1" t="s">
        <v>41</v>
      </c>
      <c r="C219" s="2" t="s">
        <v>6</v>
      </c>
      <c r="D219" s="4">
        <v>0.37108750000000001</v>
      </c>
      <c r="E219" s="1">
        <v>5.0000000000000001E-3</v>
      </c>
      <c r="F219" s="4">
        <f t="shared" si="6"/>
        <v>0.36608750000000001</v>
      </c>
      <c r="G219" s="1">
        <f t="shared" si="7"/>
        <v>15.741894375000001</v>
      </c>
    </row>
    <row r="220" spans="1:7">
      <c r="A220" s="1" t="s">
        <v>36</v>
      </c>
      <c r="B220" s="1" t="s">
        <v>41</v>
      </c>
      <c r="C220" s="2" t="s">
        <v>7</v>
      </c>
      <c r="D220" s="4">
        <v>0.33808749999999999</v>
      </c>
      <c r="E220" s="1">
        <v>5.0000000000000001E-3</v>
      </c>
      <c r="F220" s="4">
        <f t="shared" si="6"/>
        <v>0.33308749999999998</v>
      </c>
      <c r="G220" s="1">
        <f t="shared" si="7"/>
        <v>14.325204375</v>
      </c>
    </row>
    <row r="221" spans="1:7">
      <c r="A221" s="1" t="s">
        <v>36</v>
      </c>
      <c r="B221" s="1" t="s">
        <v>41</v>
      </c>
      <c r="C221" s="2" t="s">
        <v>8</v>
      </c>
      <c r="D221" s="4">
        <v>0.51108750000000003</v>
      </c>
      <c r="E221" s="1">
        <v>5.0000000000000001E-3</v>
      </c>
      <c r="F221" s="4">
        <f t="shared" si="6"/>
        <v>0.50608750000000002</v>
      </c>
      <c r="G221" s="1">
        <f t="shared" si="7"/>
        <v>21.752094375000006</v>
      </c>
    </row>
    <row r="222" spans="1:7">
      <c r="A222" s="1" t="s">
        <v>36</v>
      </c>
      <c r="B222" s="1" t="s">
        <v>41</v>
      </c>
      <c r="C222" s="2" t="s">
        <v>10</v>
      </c>
      <c r="D222" s="4">
        <v>0.37158750000000002</v>
      </c>
      <c r="E222" s="1">
        <v>5.0000000000000001E-3</v>
      </c>
      <c r="F222" s="4">
        <f t="shared" si="6"/>
        <v>0.36658750000000001</v>
      </c>
      <c r="G222" s="1">
        <f t="shared" si="7"/>
        <v>15.763359374999999</v>
      </c>
    </row>
    <row r="223" spans="1:7">
      <c r="A223" s="1" t="s">
        <v>36</v>
      </c>
      <c r="B223" s="1" t="s">
        <v>41</v>
      </c>
      <c r="C223" s="2" t="s">
        <v>11</v>
      </c>
      <c r="D223" s="4">
        <v>0.4150875</v>
      </c>
      <c r="E223" s="1">
        <v>5.0000000000000001E-3</v>
      </c>
      <c r="F223" s="4">
        <f t="shared" si="6"/>
        <v>0.41008749999999999</v>
      </c>
      <c r="G223" s="1">
        <f t="shared" si="7"/>
        <v>17.630814375</v>
      </c>
    </row>
    <row r="224" spans="1:7">
      <c r="A224" s="1" t="s">
        <v>36</v>
      </c>
      <c r="B224" s="1" t="s">
        <v>41</v>
      </c>
      <c r="C224" s="2" t="s">
        <v>12</v>
      </c>
      <c r="D224" s="4">
        <v>0.3903875</v>
      </c>
      <c r="E224" s="1">
        <v>5.0000000000000001E-3</v>
      </c>
      <c r="F224" s="4">
        <f t="shared" si="6"/>
        <v>0.38538749999999999</v>
      </c>
      <c r="G224" s="1">
        <f t="shared" si="7"/>
        <v>16.570443375</v>
      </c>
    </row>
    <row r="225" spans="1:7">
      <c r="A225" s="1" t="s">
        <v>36</v>
      </c>
      <c r="B225" s="1" t="s">
        <v>41</v>
      </c>
      <c r="C225" s="2" t="s">
        <v>14</v>
      </c>
      <c r="D225" s="4">
        <v>0.37518750000000001</v>
      </c>
      <c r="E225" s="1">
        <v>5.0000000000000001E-3</v>
      </c>
      <c r="F225" s="4">
        <f t="shared" si="6"/>
        <v>0.3701875</v>
      </c>
      <c r="G225" s="1">
        <f t="shared" si="7"/>
        <v>15.917907375</v>
      </c>
    </row>
    <row r="226" spans="1:7">
      <c r="A226" s="1" t="s">
        <v>36</v>
      </c>
      <c r="B226" s="1" t="s">
        <v>41</v>
      </c>
      <c r="C226" s="2" t="s">
        <v>15</v>
      </c>
      <c r="D226" s="4">
        <v>0.42288750000000003</v>
      </c>
      <c r="E226" s="1">
        <v>5.0000000000000001E-3</v>
      </c>
      <c r="F226" s="4">
        <f t="shared" si="6"/>
        <v>0.41788750000000002</v>
      </c>
      <c r="G226" s="1">
        <f t="shared" si="7"/>
        <v>17.965668375</v>
      </c>
    </row>
    <row r="227" spans="1:7">
      <c r="A227" s="1" t="s">
        <v>36</v>
      </c>
      <c r="B227" s="1" t="s">
        <v>41</v>
      </c>
      <c r="C227" s="2" t="s">
        <v>16</v>
      </c>
      <c r="D227" s="4">
        <v>0.42478749999999998</v>
      </c>
      <c r="E227" s="1">
        <v>5.0000000000000001E-3</v>
      </c>
      <c r="F227" s="4">
        <f t="shared" si="6"/>
        <v>0.41978749999999998</v>
      </c>
      <c r="G227" s="1">
        <f t="shared" si="7"/>
        <v>18.047235375</v>
      </c>
    </row>
    <row r="228" spans="1:7">
      <c r="A228" s="1" t="s">
        <v>36</v>
      </c>
      <c r="B228" s="1" t="s">
        <v>41</v>
      </c>
      <c r="C228" s="2" t="s">
        <v>18</v>
      </c>
      <c r="D228" s="4">
        <v>0.40678750000000002</v>
      </c>
      <c r="E228" s="1">
        <v>5.0000000000000001E-3</v>
      </c>
      <c r="F228" s="4">
        <f t="shared" si="6"/>
        <v>0.40178750000000002</v>
      </c>
      <c r="G228" s="1">
        <f t="shared" si="7"/>
        <v>17.274495375000001</v>
      </c>
    </row>
    <row r="229" spans="1:7">
      <c r="A229" s="1" t="s">
        <v>36</v>
      </c>
      <c r="B229" s="1" t="s">
        <v>41</v>
      </c>
      <c r="C229" s="2" t="s">
        <v>19</v>
      </c>
      <c r="D229" s="4">
        <v>0.35668749999999999</v>
      </c>
      <c r="E229" s="1">
        <v>5.0000000000000001E-3</v>
      </c>
      <c r="F229" s="4">
        <f t="shared" si="6"/>
        <v>0.35168749999999999</v>
      </c>
      <c r="G229" s="1">
        <f t="shared" si="7"/>
        <v>15.123702375000001</v>
      </c>
    </row>
    <row r="230" spans="1:7">
      <c r="A230" s="1" t="s">
        <v>36</v>
      </c>
      <c r="B230" s="1" t="s">
        <v>41</v>
      </c>
      <c r="C230" s="2" t="s">
        <v>20</v>
      </c>
      <c r="D230" s="4">
        <v>0.34618749999999998</v>
      </c>
      <c r="E230" s="1">
        <v>5.0000000000000001E-3</v>
      </c>
      <c r="F230" s="4">
        <f t="shared" si="6"/>
        <v>0.34118749999999998</v>
      </c>
      <c r="G230" s="1">
        <f t="shared" si="7"/>
        <v>14.672937374999997</v>
      </c>
    </row>
    <row r="231" spans="1:7">
      <c r="A231" s="1" t="s">
        <v>36</v>
      </c>
      <c r="B231" s="1" t="s">
        <v>41</v>
      </c>
      <c r="C231" s="2" t="s">
        <v>22</v>
      </c>
      <c r="D231" s="4">
        <v>0.39098749999999999</v>
      </c>
      <c r="E231" s="1">
        <v>5.0000000000000001E-3</v>
      </c>
      <c r="F231" s="4">
        <f t="shared" si="6"/>
        <v>0.38598749999999998</v>
      </c>
      <c r="G231" s="1">
        <f t="shared" si="7"/>
        <v>16.596201374999996</v>
      </c>
    </row>
    <row r="232" spans="1:7">
      <c r="A232" s="1" t="s">
        <v>36</v>
      </c>
      <c r="B232" s="1" t="s">
        <v>41</v>
      </c>
      <c r="C232" s="2" t="s">
        <v>23</v>
      </c>
      <c r="D232" s="4">
        <v>0.28898750000000001</v>
      </c>
      <c r="E232" s="1">
        <v>5.0000000000000001E-3</v>
      </c>
      <c r="F232" s="4">
        <f t="shared" si="6"/>
        <v>0.2839875</v>
      </c>
      <c r="G232" s="1">
        <f t="shared" si="7"/>
        <v>12.217341374999998</v>
      </c>
    </row>
    <row r="233" spans="1:7">
      <c r="A233" s="1" t="s">
        <v>36</v>
      </c>
      <c r="B233" s="1" t="s">
        <v>41</v>
      </c>
      <c r="C233" s="2" t="s">
        <v>24</v>
      </c>
      <c r="D233" s="4">
        <v>0.39568750000000003</v>
      </c>
      <c r="E233" s="1">
        <v>5.0000000000000001E-3</v>
      </c>
      <c r="F233" s="4">
        <f t="shared" si="6"/>
        <v>0.39068750000000002</v>
      </c>
      <c r="G233" s="1">
        <f t="shared" si="7"/>
        <v>16.797972375000004</v>
      </c>
    </row>
    <row r="234" spans="1:7">
      <c r="A234" s="1" t="s">
        <v>36</v>
      </c>
      <c r="B234" s="1" t="s">
        <v>41</v>
      </c>
      <c r="C234" s="2" t="s">
        <v>26</v>
      </c>
      <c r="D234" s="4">
        <v>0.44148749999999998</v>
      </c>
      <c r="E234" s="1">
        <v>5.0000000000000001E-3</v>
      </c>
      <c r="F234" s="4">
        <f t="shared" si="6"/>
        <v>0.43648749999999997</v>
      </c>
      <c r="G234" s="1">
        <f t="shared" si="7"/>
        <v>18.764166374999995</v>
      </c>
    </row>
    <row r="235" spans="1:7">
      <c r="A235" s="1" t="s">
        <v>36</v>
      </c>
      <c r="B235" s="1" t="s">
        <v>41</v>
      </c>
      <c r="C235" s="2" t="s">
        <v>27</v>
      </c>
      <c r="D235" s="4">
        <v>0.35688750000000002</v>
      </c>
      <c r="E235" s="1">
        <v>5.0000000000000001E-3</v>
      </c>
      <c r="F235" s="4">
        <f t="shared" si="6"/>
        <v>0.35188750000000002</v>
      </c>
      <c r="G235" s="1">
        <f t="shared" si="7"/>
        <v>15.132288375000002</v>
      </c>
    </row>
    <row r="236" spans="1:7">
      <c r="A236" s="1" t="s">
        <v>36</v>
      </c>
      <c r="B236" s="1" t="s">
        <v>42</v>
      </c>
      <c r="C236" s="2" t="s">
        <v>4</v>
      </c>
      <c r="D236" s="4">
        <v>0.37748749999999998</v>
      </c>
      <c r="E236" s="1">
        <v>5.0000000000000001E-3</v>
      </c>
      <c r="F236" s="4">
        <f t="shared" si="6"/>
        <v>0.37248749999999997</v>
      </c>
      <c r="G236" s="1">
        <f t="shared" si="7"/>
        <v>16.016646374999997</v>
      </c>
    </row>
    <row r="237" spans="1:7">
      <c r="A237" s="1" t="s">
        <v>36</v>
      </c>
      <c r="B237" s="1" t="s">
        <v>42</v>
      </c>
      <c r="C237" s="2" t="s">
        <v>6</v>
      </c>
      <c r="D237" s="4">
        <v>0.36188749999999997</v>
      </c>
      <c r="E237" s="1">
        <v>5.0000000000000001E-3</v>
      </c>
      <c r="F237" s="4">
        <f t="shared" si="6"/>
        <v>0.35688749999999997</v>
      </c>
      <c r="G237" s="1">
        <f t="shared" si="7"/>
        <v>15.346938374999997</v>
      </c>
    </row>
    <row r="238" spans="1:7">
      <c r="A238" s="1" t="s">
        <v>36</v>
      </c>
      <c r="B238" s="1" t="s">
        <v>42</v>
      </c>
      <c r="C238" s="2" t="s">
        <v>7</v>
      </c>
      <c r="D238" s="4">
        <v>0.31748749999999998</v>
      </c>
      <c r="E238" s="1">
        <v>5.0000000000000001E-3</v>
      </c>
      <c r="F238" s="4">
        <f t="shared" si="6"/>
        <v>0.31248749999999997</v>
      </c>
      <c r="G238" s="1">
        <f t="shared" si="7"/>
        <v>13.440846374999998</v>
      </c>
    </row>
    <row r="239" spans="1:7">
      <c r="A239" s="1" t="s">
        <v>36</v>
      </c>
      <c r="B239" s="1" t="s">
        <v>42</v>
      </c>
      <c r="C239" s="2" t="s">
        <v>8</v>
      </c>
      <c r="D239" s="4">
        <v>0.37088749999999998</v>
      </c>
      <c r="E239" s="1">
        <v>5.0000000000000001E-3</v>
      </c>
      <c r="F239" s="4">
        <f t="shared" si="6"/>
        <v>0.36588749999999998</v>
      </c>
      <c r="G239" s="1">
        <f t="shared" si="7"/>
        <v>15.733308374999998</v>
      </c>
    </row>
    <row r="240" spans="1:7">
      <c r="A240" s="1" t="s">
        <v>36</v>
      </c>
      <c r="B240" s="1" t="s">
        <v>42</v>
      </c>
      <c r="C240" s="2" t="s">
        <v>10</v>
      </c>
      <c r="D240" s="4">
        <v>0.35978749999999998</v>
      </c>
      <c r="E240" s="1">
        <v>5.0000000000000001E-3</v>
      </c>
      <c r="F240" s="4">
        <f t="shared" si="6"/>
        <v>0.35478749999999998</v>
      </c>
      <c r="G240" s="1">
        <f t="shared" si="7"/>
        <v>15.256785374999998</v>
      </c>
    </row>
    <row r="241" spans="1:7">
      <c r="A241" s="1" t="s">
        <v>36</v>
      </c>
      <c r="B241" s="1" t="s">
        <v>42</v>
      </c>
      <c r="C241" s="2" t="s">
        <v>11</v>
      </c>
      <c r="D241" s="4">
        <v>0.32878750000000001</v>
      </c>
      <c r="E241" s="1">
        <v>5.0000000000000001E-3</v>
      </c>
      <c r="F241" s="4">
        <f t="shared" si="6"/>
        <v>0.32378750000000001</v>
      </c>
      <c r="G241" s="1">
        <f t="shared" si="7"/>
        <v>13.925955374999999</v>
      </c>
    </row>
    <row r="242" spans="1:7">
      <c r="A242" s="1" t="s">
        <v>36</v>
      </c>
      <c r="B242" s="1" t="s">
        <v>42</v>
      </c>
      <c r="C242" s="2" t="s">
        <v>12</v>
      </c>
      <c r="D242" s="4">
        <v>0.33788750000000001</v>
      </c>
      <c r="E242" s="1">
        <v>5.0000000000000001E-3</v>
      </c>
      <c r="F242" s="4">
        <f t="shared" si="6"/>
        <v>0.3328875</v>
      </c>
      <c r="G242" s="1">
        <f t="shared" si="7"/>
        <v>14.316618375000001</v>
      </c>
    </row>
    <row r="243" spans="1:7">
      <c r="A243" s="1" t="s">
        <v>36</v>
      </c>
      <c r="B243" s="1" t="s">
        <v>42</v>
      </c>
      <c r="C243" s="2" t="s">
        <v>14</v>
      </c>
      <c r="D243" s="4">
        <v>0.29088750000000002</v>
      </c>
      <c r="E243" s="1">
        <v>5.0000000000000001E-3</v>
      </c>
      <c r="F243" s="4">
        <f t="shared" si="6"/>
        <v>0.28588750000000002</v>
      </c>
      <c r="G243" s="1">
        <f t="shared" si="7"/>
        <v>12.298908375</v>
      </c>
    </row>
    <row r="244" spans="1:7">
      <c r="A244" s="1" t="s">
        <v>36</v>
      </c>
      <c r="B244" s="1" t="s">
        <v>42</v>
      </c>
      <c r="C244" s="2" t="s">
        <v>15</v>
      </c>
      <c r="D244" s="4">
        <v>0.28868749999999999</v>
      </c>
      <c r="E244" s="1">
        <v>5.0000000000000001E-3</v>
      </c>
      <c r="F244" s="4">
        <f t="shared" si="6"/>
        <v>0.28368749999999998</v>
      </c>
      <c r="G244" s="1">
        <f t="shared" si="7"/>
        <v>12.204462374999999</v>
      </c>
    </row>
    <row r="245" spans="1:7">
      <c r="A245" s="1" t="s">
        <v>36</v>
      </c>
      <c r="B245" s="1" t="s">
        <v>42</v>
      </c>
      <c r="C245" s="2" t="s">
        <v>16</v>
      </c>
      <c r="D245" s="4">
        <v>0.37128749999999999</v>
      </c>
      <c r="E245" s="1">
        <v>5.0000000000000001E-3</v>
      </c>
      <c r="F245" s="4">
        <f t="shared" si="6"/>
        <v>0.36628749999999999</v>
      </c>
      <c r="G245" s="1">
        <f t="shared" si="7"/>
        <v>15.750480375</v>
      </c>
    </row>
    <row r="246" spans="1:7">
      <c r="A246" s="1" t="s">
        <v>36</v>
      </c>
      <c r="B246" s="1" t="s">
        <v>42</v>
      </c>
      <c r="C246" s="2" t="s">
        <v>18</v>
      </c>
      <c r="D246" s="4">
        <v>0.37358750000000002</v>
      </c>
      <c r="E246" s="1">
        <v>5.0000000000000001E-3</v>
      </c>
      <c r="F246" s="4">
        <f t="shared" si="6"/>
        <v>0.36858750000000001</v>
      </c>
      <c r="G246" s="1">
        <f t="shared" si="7"/>
        <v>15.849219375000001</v>
      </c>
    </row>
    <row r="247" spans="1:7">
      <c r="A247" s="1" t="s">
        <v>36</v>
      </c>
      <c r="B247" s="1" t="s">
        <v>42</v>
      </c>
      <c r="C247" s="2" t="s">
        <v>19</v>
      </c>
      <c r="D247" s="4">
        <v>0.30208750000000001</v>
      </c>
      <c r="E247" s="1">
        <v>5.0000000000000001E-3</v>
      </c>
      <c r="F247" s="4">
        <f t="shared" si="6"/>
        <v>0.2970875</v>
      </c>
      <c r="G247" s="1">
        <f t="shared" si="7"/>
        <v>12.779724375000001</v>
      </c>
    </row>
    <row r="248" spans="1:7">
      <c r="A248" s="1" t="s">
        <v>36</v>
      </c>
      <c r="B248" s="1" t="s">
        <v>42</v>
      </c>
      <c r="C248" s="2" t="s">
        <v>20</v>
      </c>
      <c r="D248" s="4">
        <v>0.32118750000000001</v>
      </c>
      <c r="E248" s="1">
        <v>5.0000000000000001E-3</v>
      </c>
      <c r="F248" s="4">
        <f t="shared" si="6"/>
        <v>0.31618750000000001</v>
      </c>
      <c r="G248" s="1">
        <f t="shared" si="7"/>
        <v>13.599687375000002</v>
      </c>
    </row>
    <row r="249" spans="1:7">
      <c r="A249" s="1" t="s">
        <v>36</v>
      </c>
      <c r="B249" s="1" t="s">
        <v>42</v>
      </c>
      <c r="C249" s="2" t="s">
        <v>22</v>
      </c>
      <c r="D249" s="4">
        <v>0.31308750000000002</v>
      </c>
      <c r="E249" s="1">
        <v>5.0000000000000001E-3</v>
      </c>
      <c r="F249" s="4">
        <f t="shared" si="6"/>
        <v>0.30808750000000001</v>
      </c>
      <c r="G249" s="1">
        <f t="shared" si="7"/>
        <v>13.251954374999999</v>
      </c>
    </row>
    <row r="250" spans="1:7">
      <c r="A250" s="1" t="s">
        <v>36</v>
      </c>
      <c r="B250" s="1" t="s">
        <v>42</v>
      </c>
      <c r="C250" s="2" t="s">
        <v>23</v>
      </c>
      <c r="D250" s="4">
        <v>0.34338750000000001</v>
      </c>
      <c r="E250" s="1">
        <v>5.0000000000000001E-3</v>
      </c>
      <c r="F250" s="4">
        <f t="shared" si="6"/>
        <v>0.33838750000000001</v>
      </c>
      <c r="G250" s="1">
        <f t="shared" si="7"/>
        <v>14.552733374999999</v>
      </c>
    </row>
    <row r="251" spans="1:7">
      <c r="A251" s="1" t="s">
        <v>36</v>
      </c>
      <c r="B251" s="1" t="s">
        <v>42</v>
      </c>
      <c r="C251" s="2" t="s">
        <v>24</v>
      </c>
      <c r="D251" s="4">
        <v>0.25698749999999998</v>
      </c>
      <c r="E251" s="1">
        <v>5.0000000000000001E-3</v>
      </c>
      <c r="F251" s="4">
        <f t="shared" si="6"/>
        <v>0.25198749999999998</v>
      </c>
      <c r="G251" s="1">
        <f t="shared" si="7"/>
        <v>10.843581374999999</v>
      </c>
    </row>
    <row r="252" spans="1:7">
      <c r="A252" s="1" t="s">
        <v>36</v>
      </c>
      <c r="B252" s="1" t="s">
        <v>42</v>
      </c>
      <c r="C252" s="2" t="s">
        <v>26</v>
      </c>
      <c r="D252" s="4">
        <v>0.32398749999999998</v>
      </c>
      <c r="E252" s="1">
        <v>5.0000000000000001E-3</v>
      </c>
      <c r="F252" s="4">
        <f t="shared" si="6"/>
        <v>0.31898749999999998</v>
      </c>
      <c r="G252" s="1">
        <f t="shared" si="7"/>
        <v>13.719891374999998</v>
      </c>
    </row>
    <row r="253" spans="1:7">
      <c r="A253" s="1" t="s">
        <v>36</v>
      </c>
      <c r="B253" s="1" t="s">
        <v>42</v>
      </c>
      <c r="C253" s="2" t="s">
        <v>27</v>
      </c>
      <c r="D253" s="4">
        <v>0.34678750000000003</v>
      </c>
      <c r="E253" s="1">
        <v>5.0000000000000001E-3</v>
      </c>
      <c r="F253" s="4">
        <f t="shared" si="6"/>
        <v>0.34178750000000002</v>
      </c>
      <c r="G253" s="1">
        <f t="shared" si="7"/>
        <v>14.698695375000002</v>
      </c>
    </row>
    <row r="254" spans="1:7">
      <c r="A254" s="1" t="s">
        <v>36</v>
      </c>
      <c r="B254" s="1" t="s">
        <v>43</v>
      </c>
      <c r="C254" s="2" t="s">
        <v>4</v>
      </c>
      <c r="D254" s="4">
        <v>0.27758749999999999</v>
      </c>
      <c r="E254" s="1">
        <v>5.0000000000000001E-3</v>
      </c>
      <c r="F254" s="4">
        <f t="shared" si="6"/>
        <v>0.27258749999999998</v>
      </c>
      <c r="G254" s="1">
        <f t="shared" si="7"/>
        <v>11.727939374999998</v>
      </c>
    </row>
    <row r="255" spans="1:7">
      <c r="A255" s="1" t="s">
        <v>36</v>
      </c>
      <c r="B255" s="1" t="s">
        <v>43</v>
      </c>
      <c r="C255" s="2" t="s">
        <v>6</v>
      </c>
      <c r="D255" s="4">
        <v>0.28698750000000001</v>
      </c>
      <c r="E255" s="1">
        <v>5.0000000000000001E-3</v>
      </c>
      <c r="F255" s="4">
        <f t="shared" si="6"/>
        <v>0.2819875</v>
      </c>
      <c r="G255" s="1">
        <f t="shared" si="7"/>
        <v>12.131481375</v>
      </c>
    </row>
    <row r="256" spans="1:7">
      <c r="A256" s="1" t="s">
        <v>36</v>
      </c>
      <c r="B256" s="1" t="s">
        <v>43</v>
      </c>
      <c r="C256" s="2" t="s">
        <v>7</v>
      </c>
      <c r="D256" s="4">
        <v>0.31618750000000001</v>
      </c>
      <c r="E256" s="1">
        <v>5.0000000000000001E-3</v>
      </c>
      <c r="F256" s="4">
        <f t="shared" si="6"/>
        <v>0.31118750000000001</v>
      </c>
      <c r="G256" s="1">
        <f t="shared" si="7"/>
        <v>13.385037375</v>
      </c>
    </row>
    <row r="257" spans="1:7">
      <c r="A257" s="1" t="s">
        <v>36</v>
      </c>
      <c r="B257" s="1" t="s">
        <v>43</v>
      </c>
      <c r="C257" s="2" t="s">
        <v>8</v>
      </c>
      <c r="D257" s="4">
        <v>0.33178750000000001</v>
      </c>
      <c r="E257" s="1">
        <v>5.0000000000000001E-3</v>
      </c>
      <c r="F257" s="4">
        <f t="shared" si="6"/>
        <v>0.32678750000000001</v>
      </c>
      <c r="G257" s="1">
        <f t="shared" si="7"/>
        <v>14.054745375</v>
      </c>
    </row>
    <row r="258" spans="1:7">
      <c r="A258" s="1" t="s">
        <v>36</v>
      </c>
      <c r="B258" s="1" t="s">
        <v>43</v>
      </c>
      <c r="C258" s="2" t="s">
        <v>10</v>
      </c>
      <c r="D258" s="4">
        <v>0.26228750000000001</v>
      </c>
      <c r="E258" s="1">
        <v>5.0000000000000001E-3</v>
      </c>
      <c r="F258" s="4">
        <f t="shared" si="6"/>
        <v>0.2572875</v>
      </c>
      <c r="G258" s="1">
        <f t="shared" si="7"/>
        <v>11.071110374999998</v>
      </c>
    </row>
    <row r="259" spans="1:7">
      <c r="A259" s="1" t="s">
        <v>36</v>
      </c>
      <c r="B259" s="1" t="s">
        <v>43</v>
      </c>
      <c r="C259" s="2" t="s">
        <v>11</v>
      </c>
      <c r="D259" s="4">
        <v>0.29228749999999998</v>
      </c>
      <c r="E259" s="1">
        <v>5.0000000000000001E-3</v>
      </c>
      <c r="F259" s="4">
        <f t="shared" ref="F259:F289" si="8">D259-E259</f>
        <v>0.28728749999999997</v>
      </c>
      <c r="G259" s="1">
        <f t="shared" ref="G259:G289" si="9">0.2862*(F259+0.0006)*1.5/0.01</f>
        <v>12.359010374999999</v>
      </c>
    </row>
    <row r="260" spans="1:7">
      <c r="A260" s="1" t="s">
        <v>36</v>
      </c>
      <c r="B260" s="1" t="s">
        <v>43</v>
      </c>
      <c r="C260" s="2" t="s">
        <v>12</v>
      </c>
      <c r="D260" s="4">
        <v>0.31418750000000001</v>
      </c>
      <c r="E260" s="1">
        <v>5.0000000000000001E-3</v>
      </c>
      <c r="F260" s="4">
        <f t="shared" si="8"/>
        <v>0.3091875</v>
      </c>
      <c r="G260" s="1">
        <f t="shared" si="9"/>
        <v>13.299177375000001</v>
      </c>
    </row>
    <row r="261" spans="1:7">
      <c r="A261" s="1" t="s">
        <v>36</v>
      </c>
      <c r="B261" s="1" t="s">
        <v>43</v>
      </c>
      <c r="C261" s="2" t="s">
        <v>14</v>
      </c>
      <c r="D261" s="4">
        <v>0.30888749999999998</v>
      </c>
      <c r="E261" s="1">
        <v>5.0000000000000001E-3</v>
      </c>
      <c r="F261" s="4">
        <f t="shared" si="8"/>
        <v>0.30388749999999998</v>
      </c>
      <c r="G261" s="1">
        <f t="shared" si="9"/>
        <v>13.071648375000001</v>
      </c>
    </row>
    <row r="262" spans="1:7">
      <c r="A262" s="1" t="s">
        <v>36</v>
      </c>
      <c r="B262" s="1" t="s">
        <v>43</v>
      </c>
      <c r="C262" s="2" t="s">
        <v>15</v>
      </c>
      <c r="D262" s="4">
        <v>0.33008749999999998</v>
      </c>
      <c r="E262" s="1">
        <v>5.0000000000000001E-3</v>
      </c>
      <c r="F262" s="4">
        <f t="shared" si="8"/>
        <v>0.32508749999999997</v>
      </c>
      <c r="G262" s="1">
        <f t="shared" si="9"/>
        <v>13.981764374999999</v>
      </c>
    </row>
    <row r="263" spans="1:7">
      <c r="A263" s="1" t="s">
        <v>36</v>
      </c>
      <c r="B263" s="1" t="s">
        <v>43</v>
      </c>
      <c r="C263" s="2" t="s">
        <v>16</v>
      </c>
      <c r="D263" s="4">
        <v>0.22058749999999999</v>
      </c>
      <c r="E263" s="1">
        <v>5.0000000000000001E-3</v>
      </c>
      <c r="F263" s="4">
        <f t="shared" si="8"/>
        <v>0.21558749999999999</v>
      </c>
      <c r="G263" s="1">
        <f t="shared" si="9"/>
        <v>9.2809293749999995</v>
      </c>
    </row>
    <row r="264" spans="1:7">
      <c r="A264" s="1" t="s">
        <v>36</v>
      </c>
      <c r="B264" s="1" t="s">
        <v>43</v>
      </c>
      <c r="C264" s="2" t="s">
        <v>18</v>
      </c>
      <c r="D264" s="4">
        <v>0.2900875</v>
      </c>
      <c r="E264" s="1">
        <v>5.0000000000000001E-3</v>
      </c>
      <c r="F264" s="4">
        <f t="shared" si="8"/>
        <v>0.28508749999999999</v>
      </c>
      <c r="G264" s="1">
        <f t="shared" si="9"/>
        <v>12.264564375000001</v>
      </c>
    </row>
    <row r="265" spans="1:7">
      <c r="A265" s="1" t="s">
        <v>36</v>
      </c>
      <c r="B265" s="1" t="s">
        <v>43</v>
      </c>
      <c r="C265" s="2" t="s">
        <v>19</v>
      </c>
      <c r="D265" s="4">
        <v>0.37398749999999997</v>
      </c>
      <c r="E265" s="1">
        <v>5.0000000000000001E-3</v>
      </c>
      <c r="F265" s="4">
        <f t="shared" si="8"/>
        <v>0.36898749999999997</v>
      </c>
      <c r="G265" s="1">
        <f t="shared" si="9"/>
        <v>15.866391374999999</v>
      </c>
    </row>
    <row r="266" spans="1:7">
      <c r="A266" s="1" t="s">
        <v>36</v>
      </c>
      <c r="B266" s="1" t="s">
        <v>43</v>
      </c>
      <c r="C266" s="2" t="s">
        <v>20</v>
      </c>
      <c r="D266" s="4">
        <v>0.29728749999999998</v>
      </c>
      <c r="E266" s="1">
        <v>5.0000000000000001E-3</v>
      </c>
      <c r="F266" s="4">
        <f t="shared" si="8"/>
        <v>0.29228749999999998</v>
      </c>
      <c r="G266" s="1">
        <f t="shared" si="9"/>
        <v>12.573660374999998</v>
      </c>
    </row>
    <row r="267" spans="1:7">
      <c r="A267" s="1" t="s">
        <v>36</v>
      </c>
      <c r="B267" s="1" t="s">
        <v>43</v>
      </c>
      <c r="C267" s="2" t="s">
        <v>22</v>
      </c>
      <c r="D267" s="4">
        <v>0.3162875</v>
      </c>
      <c r="E267" s="1">
        <v>5.0000000000000001E-3</v>
      </c>
      <c r="F267" s="4">
        <f t="shared" si="8"/>
        <v>0.31128749999999999</v>
      </c>
      <c r="G267" s="1">
        <f t="shared" si="9"/>
        <v>13.389330375</v>
      </c>
    </row>
    <row r="268" spans="1:7">
      <c r="A268" s="1" t="s">
        <v>36</v>
      </c>
      <c r="B268" s="1" t="s">
        <v>43</v>
      </c>
      <c r="C268" s="2" t="s">
        <v>23</v>
      </c>
      <c r="D268" s="4">
        <v>0.25808750000000003</v>
      </c>
      <c r="E268" s="1">
        <v>5.0000000000000001E-3</v>
      </c>
      <c r="F268" s="4">
        <f t="shared" si="8"/>
        <v>0.25308750000000002</v>
      </c>
      <c r="G268" s="1">
        <f t="shared" si="9"/>
        <v>10.890804375000002</v>
      </c>
    </row>
    <row r="269" spans="1:7">
      <c r="A269" s="1" t="s">
        <v>36</v>
      </c>
      <c r="B269" s="1" t="s">
        <v>43</v>
      </c>
      <c r="C269" s="2" t="s">
        <v>24</v>
      </c>
      <c r="D269" s="4">
        <v>0.22498750000000001</v>
      </c>
      <c r="E269" s="1">
        <v>5.0000000000000001E-3</v>
      </c>
      <c r="F269" s="4">
        <f t="shared" si="8"/>
        <v>0.2199875</v>
      </c>
      <c r="G269" s="1">
        <f t="shared" si="9"/>
        <v>9.4698213750000004</v>
      </c>
    </row>
    <row r="270" spans="1:7">
      <c r="A270" s="1" t="s">
        <v>36</v>
      </c>
      <c r="B270" s="1" t="s">
        <v>43</v>
      </c>
      <c r="C270" s="2" t="s">
        <v>26</v>
      </c>
      <c r="D270" s="4">
        <v>0.30178749999999999</v>
      </c>
      <c r="E270" s="1">
        <v>5.0000000000000001E-3</v>
      </c>
      <c r="F270" s="4">
        <f t="shared" si="8"/>
        <v>0.29678749999999998</v>
      </c>
      <c r="G270" s="1">
        <f t="shared" si="9"/>
        <v>12.766845374999999</v>
      </c>
    </row>
    <row r="271" spans="1:7">
      <c r="A271" s="1" t="s">
        <v>36</v>
      </c>
      <c r="B271" s="1" t="s">
        <v>43</v>
      </c>
      <c r="C271" s="2" t="s">
        <v>27</v>
      </c>
      <c r="D271" s="4">
        <v>0.26678750000000001</v>
      </c>
      <c r="E271" s="1">
        <v>5.0000000000000001E-3</v>
      </c>
      <c r="F271" s="4">
        <f t="shared" si="8"/>
        <v>0.26178750000000001</v>
      </c>
      <c r="G271" s="1">
        <f t="shared" si="9"/>
        <v>11.264295375</v>
      </c>
    </row>
    <row r="272" spans="1:7">
      <c r="A272" s="1" t="s">
        <v>36</v>
      </c>
      <c r="B272" s="1" t="s">
        <v>44</v>
      </c>
      <c r="C272" s="2" t="s">
        <v>4</v>
      </c>
      <c r="D272" s="4">
        <v>0.22418750000000001</v>
      </c>
      <c r="E272" s="1">
        <v>5.0000000000000001E-3</v>
      </c>
      <c r="F272" s="4">
        <f t="shared" si="8"/>
        <v>0.21918750000000001</v>
      </c>
      <c r="G272" s="1">
        <f t="shared" si="9"/>
        <v>9.4354773750000014</v>
      </c>
    </row>
    <row r="273" spans="1:7">
      <c r="A273" s="1" t="s">
        <v>36</v>
      </c>
      <c r="B273" s="1" t="s">
        <v>44</v>
      </c>
      <c r="C273" s="2" t="s">
        <v>6</v>
      </c>
      <c r="D273" s="4">
        <v>0.33738750000000001</v>
      </c>
      <c r="E273" s="1">
        <v>5.0000000000000001E-3</v>
      </c>
      <c r="F273" s="4">
        <f t="shared" si="8"/>
        <v>0.3323875</v>
      </c>
      <c r="G273" s="1">
        <f t="shared" si="9"/>
        <v>14.295153375</v>
      </c>
    </row>
    <row r="274" spans="1:7">
      <c r="A274" s="1" t="s">
        <v>36</v>
      </c>
      <c r="B274" s="1" t="s">
        <v>44</v>
      </c>
      <c r="C274" s="2" t="s">
        <v>7</v>
      </c>
      <c r="D274" s="4">
        <v>0.31408750000000002</v>
      </c>
      <c r="E274" s="1">
        <v>5.0000000000000001E-3</v>
      </c>
      <c r="F274" s="4">
        <f t="shared" si="8"/>
        <v>0.30908750000000002</v>
      </c>
      <c r="G274" s="1">
        <f t="shared" si="9"/>
        <v>13.294884374999999</v>
      </c>
    </row>
    <row r="275" spans="1:7">
      <c r="A275" s="1" t="s">
        <v>36</v>
      </c>
      <c r="B275" s="1" t="s">
        <v>44</v>
      </c>
      <c r="C275" s="2" t="s">
        <v>8</v>
      </c>
      <c r="D275" s="4">
        <v>0.2567875</v>
      </c>
      <c r="E275" s="1">
        <v>5.0000000000000001E-3</v>
      </c>
      <c r="F275" s="4">
        <f t="shared" si="8"/>
        <v>0.2517875</v>
      </c>
      <c r="G275" s="1">
        <f t="shared" si="9"/>
        <v>10.834995375</v>
      </c>
    </row>
    <row r="276" spans="1:7">
      <c r="A276" s="1" t="s">
        <v>36</v>
      </c>
      <c r="B276" s="1" t="s">
        <v>44</v>
      </c>
      <c r="C276" s="2" t="s">
        <v>10</v>
      </c>
      <c r="D276" s="4">
        <v>0.22668749999999999</v>
      </c>
      <c r="E276" s="1">
        <v>5.0000000000000001E-3</v>
      </c>
      <c r="F276" s="4">
        <f t="shared" si="8"/>
        <v>0.22168749999999998</v>
      </c>
      <c r="G276" s="1">
        <f t="shared" si="9"/>
        <v>9.5428023749999991</v>
      </c>
    </row>
    <row r="277" spans="1:7">
      <c r="A277" s="1" t="s">
        <v>36</v>
      </c>
      <c r="B277" s="1" t="s">
        <v>44</v>
      </c>
      <c r="C277" s="2" t="s">
        <v>11</v>
      </c>
      <c r="D277" s="4">
        <v>0.27878750000000002</v>
      </c>
      <c r="E277" s="1">
        <v>5.0000000000000001E-3</v>
      </c>
      <c r="F277" s="4">
        <f t="shared" si="8"/>
        <v>0.27378750000000002</v>
      </c>
      <c r="G277" s="1">
        <f t="shared" si="9"/>
        <v>11.779455375</v>
      </c>
    </row>
    <row r="278" spans="1:7">
      <c r="A278" s="1" t="s">
        <v>36</v>
      </c>
      <c r="B278" s="1" t="s">
        <v>44</v>
      </c>
      <c r="C278" s="2" t="s">
        <v>12</v>
      </c>
      <c r="D278" s="4">
        <v>0.38048749999999998</v>
      </c>
      <c r="E278" s="1">
        <v>5.0000000000000001E-3</v>
      </c>
      <c r="F278" s="4">
        <f t="shared" si="8"/>
        <v>0.37548749999999997</v>
      </c>
      <c r="G278" s="1">
        <f t="shared" si="9"/>
        <v>16.145436374999999</v>
      </c>
    </row>
    <row r="279" spans="1:7">
      <c r="A279" s="1" t="s">
        <v>36</v>
      </c>
      <c r="B279" s="1" t="s">
        <v>44</v>
      </c>
      <c r="C279" s="2" t="s">
        <v>14</v>
      </c>
      <c r="D279" s="4">
        <v>0.37808750000000002</v>
      </c>
      <c r="E279" s="1">
        <v>5.0000000000000001E-3</v>
      </c>
      <c r="F279" s="4">
        <f t="shared" si="8"/>
        <v>0.37308750000000002</v>
      </c>
      <c r="G279" s="1">
        <f t="shared" si="9"/>
        <v>16.042404375</v>
      </c>
    </row>
    <row r="280" spans="1:7">
      <c r="A280" s="1" t="s">
        <v>36</v>
      </c>
      <c r="B280" s="1" t="s">
        <v>44</v>
      </c>
      <c r="C280" s="2" t="s">
        <v>15</v>
      </c>
      <c r="D280" s="4">
        <v>0.38158750000000002</v>
      </c>
      <c r="E280" s="1">
        <v>5.0000000000000001E-3</v>
      </c>
      <c r="F280" s="4">
        <f t="shared" si="8"/>
        <v>0.37658750000000002</v>
      </c>
      <c r="G280" s="1">
        <f t="shared" si="9"/>
        <v>16.192659375000002</v>
      </c>
    </row>
    <row r="281" spans="1:7">
      <c r="A281" s="1" t="s">
        <v>36</v>
      </c>
      <c r="B281" s="1" t="s">
        <v>44</v>
      </c>
      <c r="C281" s="2" t="s">
        <v>16</v>
      </c>
      <c r="D281" s="4">
        <v>0.3283875</v>
      </c>
      <c r="E281" s="1">
        <v>5.0000000000000001E-3</v>
      </c>
      <c r="F281" s="4">
        <f t="shared" si="8"/>
        <v>0.32338749999999999</v>
      </c>
      <c r="G281" s="1">
        <f t="shared" si="9"/>
        <v>13.908783375000001</v>
      </c>
    </row>
    <row r="282" spans="1:7">
      <c r="A282" s="1" t="s">
        <v>36</v>
      </c>
      <c r="B282" s="1" t="s">
        <v>44</v>
      </c>
      <c r="C282" s="2" t="s">
        <v>18</v>
      </c>
      <c r="D282" s="4">
        <v>0.40028750000000002</v>
      </c>
      <c r="E282" s="1">
        <v>5.0000000000000001E-3</v>
      </c>
      <c r="F282" s="4">
        <f t="shared" si="8"/>
        <v>0.39528750000000001</v>
      </c>
      <c r="G282" s="1">
        <f t="shared" si="9"/>
        <v>16.995450374999997</v>
      </c>
    </row>
    <row r="283" spans="1:7">
      <c r="A283" s="1" t="s">
        <v>36</v>
      </c>
      <c r="B283" s="1" t="s">
        <v>44</v>
      </c>
      <c r="C283" s="2" t="s">
        <v>19</v>
      </c>
      <c r="D283" s="4">
        <v>0.37238749999999998</v>
      </c>
      <c r="E283" s="1">
        <v>5.0000000000000001E-3</v>
      </c>
      <c r="F283" s="4">
        <f t="shared" si="8"/>
        <v>0.36738749999999998</v>
      </c>
      <c r="G283" s="1">
        <f t="shared" si="9"/>
        <v>15.797703374999999</v>
      </c>
    </row>
    <row r="284" spans="1:7">
      <c r="A284" s="1" t="s">
        <v>36</v>
      </c>
      <c r="B284" s="1" t="s">
        <v>44</v>
      </c>
      <c r="C284" s="2" t="s">
        <v>20</v>
      </c>
      <c r="D284" s="4">
        <v>0.1788875</v>
      </c>
      <c r="E284" s="1">
        <v>5.0000000000000001E-3</v>
      </c>
      <c r="F284" s="4">
        <f t="shared" si="8"/>
        <v>0.1738875</v>
      </c>
      <c r="G284" s="1">
        <f t="shared" si="9"/>
        <v>7.4907483749999999</v>
      </c>
    </row>
    <row r="285" spans="1:7">
      <c r="A285" s="1" t="s">
        <v>36</v>
      </c>
      <c r="B285" s="1" t="s">
        <v>44</v>
      </c>
      <c r="C285" s="2" t="s">
        <v>22</v>
      </c>
      <c r="D285" s="4">
        <v>0.27198749999999999</v>
      </c>
      <c r="E285" s="1">
        <v>5.0000000000000001E-3</v>
      </c>
      <c r="F285" s="4">
        <f t="shared" si="8"/>
        <v>0.26698749999999999</v>
      </c>
      <c r="G285" s="1">
        <f t="shared" si="9"/>
        <v>11.487531374999998</v>
      </c>
    </row>
    <row r="286" spans="1:7">
      <c r="A286" s="1" t="s">
        <v>36</v>
      </c>
      <c r="B286" s="1" t="s">
        <v>44</v>
      </c>
      <c r="C286" s="2" t="s">
        <v>23</v>
      </c>
      <c r="D286" s="4">
        <v>0.30158750000000001</v>
      </c>
      <c r="E286" s="1">
        <v>5.0000000000000001E-3</v>
      </c>
      <c r="F286" s="4">
        <f t="shared" si="8"/>
        <v>0.2965875</v>
      </c>
      <c r="G286" s="1">
        <f t="shared" si="9"/>
        <v>12.758259375</v>
      </c>
    </row>
    <row r="287" spans="1:7">
      <c r="A287" s="1" t="s">
        <v>36</v>
      </c>
      <c r="B287" s="1" t="s">
        <v>44</v>
      </c>
      <c r="C287" s="2" t="s">
        <v>24</v>
      </c>
      <c r="D287" s="4">
        <v>0.2393875</v>
      </c>
      <c r="E287" s="1">
        <v>5.0000000000000001E-3</v>
      </c>
      <c r="F287" s="4">
        <f t="shared" si="8"/>
        <v>0.2343875</v>
      </c>
      <c r="G287" s="1">
        <f t="shared" si="9"/>
        <v>10.088013374999999</v>
      </c>
    </row>
    <row r="288" spans="1:7">
      <c r="A288" s="1" t="s">
        <v>36</v>
      </c>
      <c r="B288" s="1" t="s">
        <v>44</v>
      </c>
      <c r="C288" s="2" t="s">
        <v>26</v>
      </c>
      <c r="D288" s="4">
        <v>0.2179875</v>
      </c>
      <c r="E288" s="1">
        <v>5.0000000000000001E-3</v>
      </c>
      <c r="F288" s="4">
        <f t="shared" si="8"/>
        <v>0.2129875</v>
      </c>
      <c r="G288" s="1">
        <f t="shared" si="9"/>
        <v>9.1693113749999995</v>
      </c>
    </row>
    <row r="289" spans="1:7">
      <c r="A289" s="1" t="s">
        <v>36</v>
      </c>
      <c r="B289" s="1" t="s">
        <v>44</v>
      </c>
      <c r="C289" s="2" t="s">
        <v>27</v>
      </c>
      <c r="D289" s="4">
        <v>0.23748749999999999</v>
      </c>
      <c r="E289" s="1">
        <v>5.0000000000000001E-3</v>
      </c>
      <c r="F289" s="4">
        <f t="shared" si="8"/>
        <v>0.23248749999999999</v>
      </c>
      <c r="G289" s="1">
        <f t="shared" si="9"/>
        <v>10.006446374999999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6379-EFEF-5A42-AFD6-F1A0A5EB8EBB}">
  <dimension ref="A1:G289"/>
  <sheetViews>
    <sheetView zoomScale="119" workbookViewId="0">
      <selection activeCell="G2" sqref="G2"/>
    </sheetView>
  </sheetViews>
  <sheetFormatPr baseColWidth="10" defaultRowHeight="16"/>
  <cols>
    <col min="1" max="3" width="10.83203125" style="1"/>
    <col min="4" max="4" width="12.83203125" style="4" customWidth="1"/>
    <col min="5" max="7" width="10.83203125" style="1"/>
  </cols>
  <sheetData>
    <row r="1" spans="1:7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50</v>
      </c>
    </row>
    <row r="2" spans="1:7">
      <c r="A2" s="1" t="s">
        <v>35</v>
      </c>
      <c r="B2" s="1" t="s">
        <v>28</v>
      </c>
      <c r="C2" s="1" t="s">
        <v>5</v>
      </c>
      <c r="D2" s="4">
        <v>0.1741</v>
      </c>
      <c r="E2" s="1">
        <v>1E-3</v>
      </c>
      <c r="F2" s="4">
        <f>D2-E2</f>
        <v>0.1731</v>
      </c>
      <c r="G2" s="1">
        <f>0.6*(F2+0.0049)*1.5/0.15</f>
        <v>1.0679999999999998</v>
      </c>
    </row>
    <row r="3" spans="1:7">
      <c r="A3" s="1" t="s">
        <v>35</v>
      </c>
      <c r="B3" s="1" t="s">
        <v>28</v>
      </c>
      <c r="C3" s="1" t="s">
        <v>6</v>
      </c>
      <c r="D3" s="4">
        <v>0.19600000000000001</v>
      </c>
      <c r="E3" s="1">
        <v>1E-3</v>
      </c>
      <c r="F3" s="4">
        <f t="shared" ref="F3:F66" si="0">D3-E3</f>
        <v>0.19500000000000001</v>
      </c>
      <c r="G3" s="1">
        <f t="shared" ref="G3:G66" si="1">0.6*(F3+0.0049)*1.5/0.15</f>
        <v>1.1994</v>
      </c>
    </row>
    <row r="4" spans="1:7">
      <c r="A4" s="1" t="s">
        <v>35</v>
      </c>
      <c r="B4" s="1" t="s">
        <v>28</v>
      </c>
      <c r="C4" s="1" t="s">
        <v>7</v>
      </c>
      <c r="D4" s="4">
        <v>0.16500000000000001</v>
      </c>
      <c r="E4" s="1">
        <v>1E-3</v>
      </c>
      <c r="F4" s="4">
        <f t="shared" si="0"/>
        <v>0.16400000000000001</v>
      </c>
      <c r="G4" s="1">
        <f t="shared" si="1"/>
        <v>1.0134000000000001</v>
      </c>
    </row>
    <row r="5" spans="1:7">
      <c r="A5" s="1" t="s">
        <v>35</v>
      </c>
      <c r="B5" s="1" t="s">
        <v>28</v>
      </c>
      <c r="C5" s="1" t="s">
        <v>9</v>
      </c>
      <c r="D5" s="4">
        <v>0.18110000000000001</v>
      </c>
      <c r="E5" s="1">
        <v>1E-3</v>
      </c>
      <c r="F5" s="4">
        <f t="shared" si="0"/>
        <v>0.18010000000000001</v>
      </c>
      <c r="G5" s="1">
        <f t="shared" si="1"/>
        <v>1.1100000000000001</v>
      </c>
    </row>
    <row r="6" spans="1:7">
      <c r="A6" s="1" t="s">
        <v>35</v>
      </c>
      <c r="B6" s="1" t="s">
        <v>28</v>
      </c>
      <c r="C6" s="1" t="s">
        <v>10</v>
      </c>
      <c r="D6" s="4">
        <v>0.1797</v>
      </c>
      <c r="E6" s="1">
        <v>1E-3</v>
      </c>
      <c r="F6" s="4">
        <f t="shared" si="0"/>
        <v>0.1787</v>
      </c>
      <c r="G6" s="1">
        <f t="shared" si="1"/>
        <v>1.1016000000000001</v>
      </c>
    </row>
    <row r="7" spans="1:7">
      <c r="A7" s="1" t="s">
        <v>35</v>
      </c>
      <c r="B7" s="1" t="s">
        <v>28</v>
      </c>
      <c r="C7" s="1" t="s">
        <v>11</v>
      </c>
      <c r="D7" s="4">
        <v>0.17199999999999999</v>
      </c>
      <c r="E7" s="1">
        <v>1E-3</v>
      </c>
      <c r="F7" s="4">
        <f t="shared" si="0"/>
        <v>0.17099999999999999</v>
      </c>
      <c r="G7" s="1">
        <f t="shared" si="1"/>
        <v>1.0553999999999999</v>
      </c>
    </row>
    <row r="8" spans="1:7">
      <c r="A8" s="1" t="s">
        <v>35</v>
      </c>
      <c r="B8" s="1" t="s">
        <v>28</v>
      </c>
      <c r="C8" s="1" t="s">
        <v>13</v>
      </c>
      <c r="D8" s="4">
        <v>0.152</v>
      </c>
      <c r="E8" s="1">
        <v>1E-3</v>
      </c>
      <c r="F8" s="4">
        <f t="shared" si="0"/>
        <v>0.151</v>
      </c>
      <c r="G8" s="1">
        <f t="shared" si="1"/>
        <v>0.93540000000000001</v>
      </c>
    </row>
    <row r="9" spans="1:7">
      <c r="A9" s="1" t="s">
        <v>35</v>
      </c>
      <c r="B9" s="1" t="s">
        <v>28</v>
      </c>
      <c r="C9" s="1" t="s">
        <v>14</v>
      </c>
      <c r="D9" s="4">
        <v>0.1779</v>
      </c>
      <c r="E9" s="1">
        <v>1E-3</v>
      </c>
      <c r="F9" s="4">
        <f t="shared" si="0"/>
        <v>0.1769</v>
      </c>
      <c r="G9" s="1">
        <f t="shared" si="1"/>
        <v>1.0908</v>
      </c>
    </row>
    <row r="10" spans="1:7">
      <c r="A10" s="1" t="s">
        <v>35</v>
      </c>
      <c r="B10" s="1" t="s">
        <v>28</v>
      </c>
      <c r="C10" s="1" t="s">
        <v>15</v>
      </c>
      <c r="D10" s="4">
        <v>0.14699999999999999</v>
      </c>
      <c r="E10" s="1">
        <v>1E-3</v>
      </c>
      <c r="F10" s="4">
        <f t="shared" si="0"/>
        <v>0.14599999999999999</v>
      </c>
      <c r="G10" s="1">
        <f t="shared" si="1"/>
        <v>0.90539999999999998</v>
      </c>
    </row>
    <row r="11" spans="1:7">
      <c r="A11" s="1" t="s">
        <v>35</v>
      </c>
      <c r="B11" s="1" t="s">
        <v>28</v>
      </c>
      <c r="C11" s="1" t="s">
        <v>17</v>
      </c>
      <c r="D11" s="4">
        <v>0.16930000000000001</v>
      </c>
      <c r="E11" s="1">
        <v>1E-3</v>
      </c>
      <c r="F11" s="4">
        <f t="shared" si="0"/>
        <v>0.16830000000000001</v>
      </c>
      <c r="G11" s="1">
        <f t="shared" si="1"/>
        <v>1.0391999999999999</v>
      </c>
    </row>
    <row r="12" spans="1:7">
      <c r="A12" s="1" t="s">
        <v>35</v>
      </c>
      <c r="B12" s="1" t="s">
        <v>28</v>
      </c>
      <c r="C12" s="1" t="s">
        <v>18</v>
      </c>
      <c r="D12" s="4">
        <v>0.2102</v>
      </c>
      <c r="E12" s="1">
        <v>1E-3</v>
      </c>
      <c r="F12" s="4">
        <f t="shared" si="0"/>
        <v>0.2092</v>
      </c>
      <c r="G12" s="1">
        <f t="shared" si="1"/>
        <v>1.2846</v>
      </c>
    </row>
    <row r="13" spans="1:7">
      <c r="A13" s="1" t="s">
        <v>35</v>
      </c>
      <c r="B13" s="1" t="s">
        <v>28</v>
      </c>
      <c r="C13" s="1" t="s">
        <v>19</v>
      </c>
      <c r="D13" s="4">
        <v>0.15809999999999999</v>
      </c>
      <c r="E13" s="1">
        <v>1E-3</v>
      </c>
      <c r="F13" s="4">
        <f t="shared" si="0"/>
        <v>0.15709999999999999</v>
      </c>
      <c r="G13" s="1">
        <f t="shared" si="1"/>
        <v>0.97199999999999998</v>
      </c>
    </row>
    <row r="14" spans="1:7">
      <c r="A14" s="1" t="s">
        <v>35</v>
      </c>
      <c r="B14" s="1" t="s">
        <v>28</v>
      </c>
      <c r="C14" s="1" t="s">
        <v>21</v>
      </c>
      <c r="D14" s="4">
        <v>0.23100000000000001</v>
      </c>
      <c r="E14" s="1">
        <v>1E-3</v>
      </c>
      <c r="F14" s="4">
        <f t="shared" si="0"/>
        <v>0.23</v>
      </c>
      <c r="G14" s="1">
        <f t="shared" si="1"/>
        <v>1.4094</v>
      </c>
    </row>
    <row r="15" spans="1:7">
      <c r="A15" s="1" t="s">
        <v>35</v>
      </c>
      <c r="B15" s="1" t="s">
        <v>28</v>
      </c>
      <c r="C15" s="1" t="s">
        <v>22</v>
      </c>
      <c r="D15" s="4">
        <v>0.1797</v>
      </c>
      <c r="E15" s="1">
        <v>1E-3</v>
      </c>
      <c r="F15" s="4">
        <f t="shared" si="0"/>
        <v>0.1787</v>
      </c>
      <c r="G15" s="1">
        <f t="shared" si="1"/>
        <v>1.1016000000000001</v>
      </c>
    </row>
    <row r="16" spans="1:7">
      <c r="A16" s="1" t="s">
        <v>35</v>
      </c>
      <c r="B16" s="1" t="s">
        <v>28</v>
      </c>
      <c r="C16" s="1" t="s">
        <v>23</v>
      </c>
      <c r="D16" s="4">
        <v>0.1711</v>
      </c>
      <c r="E16" s="1">
        <v>1E-3</v>
      </c>
      <c r="F16" s="4">
        <f t="shared" si="0"/>
        <v>0.1701</v>
      </c>
      <c r="G16" s="1">
        <f t="shared" si="1"/>
        <v>1.05</v>
      </c>
    </row>
    <row r="17" spans="1:7">
      <c r="A17" s="1" t="s">
        <v>35</v>
      </c>
      <c r="B17" s="1" t="s">
        <v>28</v>
      </c>
      <c r="C17" s="1" t="s">
        <v>25</v>
      </c>
      <c r="D17" s="4">
        <v>0.1953</v>
      </c>
      <c r="E17" s="1">
        <v>1E-3</v>
      </c>
      <c r="F17" s="4">
        <f t="shared" si="0"/>
        <v>0.1943</v>
      </c>
      <c r="G17" s="1">
        <f t="shared" si="1"/>
        <v>1.1952</v>
      </c>
    </row>
    <row r="18" spans="1:7">
      <c r="A18" s="1" t="s">
        <v>35</v>
      </c>
      <c r="B18" s="1" t="s">
        <v>28</v>
      </c>
      <c r="C18" s="1" t="s">
        <v>26</v>
      </c>
      <c r="D18" s="4">
        <v>0.2409</v>
      </c>
      <c r="E18" s="1">
        <v>1E-3</v>
      </c>
      <c r="F18" s="4">
        <f t="shared" si="0"/>
        <v>0.2399</v>
      </c>
      <c r="G18" s="1">
        <f t="shared" si="1"/>
        <v>1.4687999999999999</v>
      </c>
    </row>
    <row r="19" spans="1:7">
      <c r="A19" s="1" t="s">
        <v>35</v>
      </c>
      <c r="B19" s="1" t="s">
        <v>28</v>
      </c>
      <c r="C19" s="1" t="s">
        <v>27</v>
      </c>
      <c r="D19" s="4">
        <v>0.19969999999999999</v>
      </c>
      <c r="E19" s="1">
        <v>1E-3</v>
      </c>
      <c r="F19" s="4">
        <f t="shared" si="0"/>
        <v>0.19869999999999999</v>
      </c>
      <c r="G19" s="1">
        <f t="shared" si="1"/>
        <v>1.2215999999999998</v>
      </c>
    </row>
    <row r="20" spans="1:7">
      <c r="A20" s="1" t="s">
        <v>35</v>
      </c>
      <c r="B20" s="1" t="s">
        <v>2</v>
      </c>
      <c r="C20" s="1" t="s">
        <v>5</v>
      </c>
      <c r="D20" s="4">
        <v>0.161</v>
      </c>
      <c r="E20" s="1">
        <v>1E-3</v>
      </c>
      <c r="F20" s="4">
        <f t="shared" si="0"/>
        <v>0.16</v>
      </c>
      <c r="G20" s="1">
        <f t="shared" si="1"/>
        <v>0.98939999999999995</v>
      </c>
    </row>
    <row r="21" spans="1:7">
      <c r="A21" s="1" t="s">
        <v>35</v>
      </c>
      <c r="B21" s="1" t="s">
        <v>2</v>
      </c>
      <c r="C21" s="1" t="s">
        <v>6</v>
      </c>
      <c r="D21" s="4">
        <v>0.214</v>
      </c>
      <c r="E21" s="1">
        <v>1E-3</v>
      </c>
      <c r="F21" s="4">
        <f t="shared" si="0"/>
        <v>0.21299999999999999</v>
      </c>
      <c r="G21" s="1">
        <f t="shared" si="1"/>
        <v>1.3074000000000001</v>
      </c>
    </row>
    <row r="22" spans="1:7">
      <c r="A22" s="1" t="s">
        <v>35</v>
      </c>
      <c r="B22" s="1" t="s">
        <v>2</v>
      </c>
      <c r="C22" s="1" t="s">
        <v>7</v>
      </c>
      <c r="D22" s="4">
        <v>0.1837</v>
      </c>
      <c r="E22" s="1">
        <v>1E-3</v>
      </c>
      <c r="F22" s="4">
        <f t="shared" si="0"/>
        <v>0.1827</v>
      </c>
      <c r="G22" s="1">
        <f t="shared" si="1"/>
        <v>1.1255999999999999</v>
      </c>
    </row>
    <row r="23" spans="1:7">
      <c r="A23" s="1" t="s">
        <v>35</v>
      </c>
      <c r="B23" s="1" t="s">
        <v>2</v>
      </c>
      <c r="C23" s="1" t="s">
        <v>9</v>
      </c>
      <c r="D23" s="4">
        <v>0.16350000000000001</v>
      </c>
      <c r="E23" s="1">
        <v>1E-3</v>
      </c>
      <c r="F23" s="4">
        <f t="shared" si="0"/>
        <v>0.16250000000000001</v>
      </c>
      <c r="G23" s="1">
        <f t="shared" si="1"/>
        <v>1.0044</v>
      </c>
    </row>
    <row r="24" spans="1:7">
      <c r="A24" s="1" t="s">
        <v>35</v>
      </c>
      <c r="B24" s="1" t="s">
        <v>2</v>
      </c>
      <c r="C24" s="1" t="s">
        <v>10</v>
      </c>
      <c r="D24" s="4">
        <v>0.1777</v>
      </c>
      <c r="E24" s="1">
        <v>1E-3</v>
      </c>
      <c r="F24" s="4">
        <f t="shared" si="0"/>
        <v>0.1767</v>
      </c>
      <c r="G24" s="1">
        <f t="shared" si="1"/>
        <v>1.0895999999999999</v>
      </c>
    </row>
    <row r="25" spans="1:7">
      <c r="A25" s="1" t="s">
        <v>35</v>
      </c>
      <c r="B25" s="1" t="s">
        <v>2</v>
      </c>
      <c r="C25" s="1" t="s">
        <v>11</v>
      </c>
      <c r="D25" s="4">
        <v>0.126</v>
      </c>
      <c r="E25" s="1">
        <v>1E-3</v>
      </c>
      <c r="F25" s="4">
        <f t="shared" si="0"/>
        <v>0.125</v>
      </c>
      <c r="G25" s="1">
        <f t="shared" si="1"/>
        <v>0.77939999999999998</v>
      </c>
    </row>
    <row r="26" spans="1:7">
      <c r="A26" s="1" t="s">
        <v>35</v>
      </c>
      <c r="B26" s="1" t="s">
        <v>2</v>
      </c>
      <c r="C26" s="1" t="s">
        <v>13</v>
      </c>
      <c r="D26" s="4">
        <v>0.1686</v>
      </c>
      <c r="E26" s="1">
        <v>1E-3</v>
      </c>
      <c r="F26" s="4">
        <f t="shared" si="0"/>
        <v>0.1676</v>
      </c>
      <c r="G26" s="1">
        <f t="shared" si="1"/>
        <v>1.0350000000000001</v>
      </c>
    </row>
    <row r="27" spans="1:7">
      <c r="A27" s="1" t="s">
        <v>35</v>
      </c>
      <c r="B27" s="1" t="s">
        <v>2</v>
      </c>
      <c r="C27" s="1" t="s">
        <v>14</v>
      </c>
      <c r="D27" s="4">
        <v>0.21890000000000001</v>
      </c>
      <c r="E27" s="1">
        <v>1E-3</v>
      </c>
      <c r="F27" s="4">
        <f t="shared" si="0"/>
        <v>0.21790000000000001</v>
      </c>
      <c r="G27" s="1">
        <f t="shared" si="1"/>
        <v>1.3368</v>
      </c>
    </row>
    <row r="28" spans="1:7">
      <c r="A28" s="1" t="s">
        <v>35</v>
      </c>
      <c r="B28" s="1" t="s">
        <v>2</v>
      </c>
      <c r="C28" s="1" t="s">
        <v>15</v>
      </c>
      <c r="D28" s="4">
        <v>0.123</v>
      </c>
      <c r="E28" s="1">
        <v>1E-3</v>
      </c>
      <c r="F28" s="4">
        <f t="shared" si="0"/>
        <v>0.122</v>
      </c>
      <c r="G28" s="1">
        <f t="shared" si="1"/>
        <v>0.76139999999999985</v>
      </c>
    </row>
    <row r="29" spans="1:7">
      <c r="A29" s="1" t="s">
        <v>35</v>
      </c>
      <c r="B29" s="1" t="s">
        <v>2</v>
      </c>
      <c r="C29" s="1" t="s">
        <v>17</v>
      </c>
      <c r="D29" s="4">
        <v>0.15279999999999999</v>
      </c>
      <c r="E29" s="1">
        <v>1E-3</v>
      </c>
      <c r="F29" s="4">
        <f t="shared" si="0"/>
        <v>0.15179999999999999</v>
      </c>
      <c r="G29" s="1">
        <f t="shared" si="1"/>
        <v>0.94019999999999981</v>
      </c>
    </row>
    <row r="30" spans="1:7">
      <c r="A30" s="1" t="s">
        <v>35</v>
      </c>
      <c r="B30" s="1" t="s">
        <v>2</v>
      </c>
      <c r="C30" s="1" t="s">
        <v>18</v>
      </c>
      <c r="D30" s="4">
        <v>0.1676</v>
      </c>
      <c r="E30" s="1">
        <v>1E-3</v>
      </c>
      <c r="F30" s="4">
        <f t="shared" si="0"/>
        <v>0.1666</v>
      </c>
      <c r="G30" s="1">
        <f t="shared" si="1"/>
        <v>1.0289999999999999</v>
      </c>
    </row>
    <row r="31" spans="1:7">
      <c r="A31" s="1" t="s">
        <v>35</v>
      </c>
      <c r="B31" s="1" t="s">
        <v>2</v>
      </c>
      <c r="C31" s="1" t="s">
        <v>19</v>
      </c>
      <c r="D31" s="4">
        <v>0.1426</v>
      </c>
      <c r="E31" s="1">
        <v>1E-3</v>
      </c>
      <c r="F31" s="4">
        <f t="shared" si="0"/>
        <v>0.1416</v>
      </c>
      <c r="G31" s="1">
        <f t="shared" si="1"/>
        <v>0.879</v>
      </c>
    </row>
    <row r="32" spans="1:7">
      <c r="A32" s="1" t="s">
        <v>35</v>
      </c>
      <c r="B32" s="1" t="s">
        <v>2</v>
      </c>
      <c r="C32" s="1" t="s">
        <v>21</v>
      </c>
      <c r="D32" s="4">
        <v>0.1928</v>
      </c>
      <c r="E32" s="1">
        <v>1E-3</v>
      </c>
      <c r="F32" s="4">
        <f t="shared" si="0"/>
        <v>0.1918</v>
      </c>
      <c r="G32" s="1">
        <f t="shared" si="1"/>
        <v>1.1801999999999999</v>
      </c>
    </row>
    <row r="33" spans="1:7">
      <c r="A33" s="1" t="s">
        <v>35</v>
      </c>
      <c r="B33" s="1" t="s">
        <v>2</v>
      </c>
      <c r="C33" s="1" t="s">
        <v>22</v>
      </c>
      <c r="D33" s="4">
        <v>0.16550000000000001</v>
      </c>
      <c r="E33" s="1">
        <v>1E-3</v>
      </c>
      <c r="F33" s="4">
        <f t="shared" si="0"/>
        <v>0.16450000000000001</v>
      </c>
      <c r="G33" s="1">
        <f t="shared" si="1"/>
        <v>1.0164</v>
      </c>
    </row>
    <row r="34" spans="1:7">
      <c r="A34" s="1" t="s">
        <v>35</v>
      </c>
      <c r="B34" s="1" t="s">
        <v>2</v>
      </c>
      <c r="C34" s="1" t="s">
        <v>23</v>
      </c>
      <c r="D34" s="4">
        <v>0.1638</v>
      </c>
      <c r="E34" s="1">
        <v>1E-3</v>
      </c>
      <c r="F34" s="4">
        <f t="shared" si="0"/>
        <v>0.1628</v>
      </c>
      <c r="G34" s="1">
        <f t="shared" si="1"/>
        <v>1.0062</v>
      </c>
    </row>
    <row r="35" spans="1:7">
      <c r="A35" s="1" t="s">
        <v>35</v>
      </c>
      <c r="B35" s="1" t="s">
        <v>2</v>
      </c>
      <c r="C35" s="1" t="s">
        <v>25</v>
      </c>
      <c r="D35" s="4">
        <v>0.1913</v>
      </c>
      <c r="E35" s="1">
        <v>1E-3</v>
      </c>
      <c r="F35" s="4">
        <f t="shared" si="0"/>
        <v>0.1903</v>
      </c>
      <c r="G35" s="1">
        <f t="shared" si="1"/>
        <v>1.1711999999999998</v>
      </c>
    </row>
    <row r="36" spans="1:7">
      <c r="A36" s="1" t="s">
        <v>35</v>
      </c>
      <c r="B36" s="1" t="s">
        <v>2</v>
      </c>
      <c r="C36" s="1" t="s">
        <v>26</v>
      </c>
      <c r="D36" s="4">
        <v>0.1487</v>
      </c>
      <c r="E36" s="1">
        <v>1E-3</v>
      </c>
      <c r="F36" s="4">
        <f t="shared" si="0"/>
        <v>0.1477</v>
      </c>
      <c r="G36" s="1">
        <f t="shared" si="1"/>
        <v>0.91559999999999997</v>
      </c>
    </row>
    <row r="37" spans="1:7">
      <c r="A37" s="1" t="s">
        <v>35</v>
      </c>
      <c r="B37" s="1" t="s">
        <v>2</v>
      </c>
      <c r="C37" s="1" t="s">
        <v>27</v>
      </c>
      <c r="D37" s="4">
        <v>0.18140000000000001</v>
      </c>
      <c r="E37" s="1">
        <v>1E-3</v>
      </c>
      <c r="F37" s="4">
        <f t="shared" si="0"/>
        <v>0.1804</v>
      </c>
      <c r="G37" s="1">
        <f t="shared" si="1"/>
        <v>1.1117999999999999</v>
      </c>
    </row>
    <row r="38" spans="1:7">
      <c r="A38" s="1" t="s">
        <v>35</v>
      </c>
      <c r="B38" s="1" t="s">
        <v>29</v>
      </c>
      <c r="C38" s="1" t="s">
        <v>5</v>
      </c>
      <c r="D38" s="4">
        <v>0.14808333333333301</v>
      </c>
      <c r="E38" s="1">
        <v>1E-3</v>
      </c>
      <c r="F38" s="4">
        <f t="shared" si="0"/>
        <v>0.14708333333333301</v>
      </c>
      <c r="G38" s="1">
        <f t="shared" si="1"/>
        <v>0.91189999999999816</v>
      </c>
    </row>
    <row r="39" spans="1:7">
      <c r="A39" s="1" t="s">
        <v>35</v>
      </c>
      <c r="B39" s="1" t="s">
        <v>29</v>
      </c>
      <c r="C39" s="1" t="s">
        <v>6</v>
      </c>
      <c r="D39" s="4">
        <v>0.189983333333333</v>
      </c>
      <c r="E39" s="1">
        <v>1E-3</v>
      </c>
      <c r="F39" s="4">
        <f t="shared" si="0"/>
        <v>0.188983333333333</v>
      </c>
      <c r="G39" s="1">
        <f t="shared" si="1"/>
        <v>1.163299999999998</v>
      </c>
    </row>
    <row r="40" spans="1:7">
      <c r="A40" s="1" t="s">
        <v>35</v>
      </c>
      <c r="B40" s="1" t="s">
        <v>29</v>
      </c>
      <c r="C40" s="1" t="s">
        <v>7</v>
      </c>
      <c r="D40" s="4">
        <v>0.176883333333333</v>
      </c>
      <c r="E40" s="1">
        <v>1E-3</v>
      </c>
      <c r="F40" s="4">
        <f t="shared" si="0"/>
        <v>0.175883333333333</v>
      </c>
      <c r="G40" s="1">
        <f t="shared" si="1"/>
        <v>1.084699999999998</v>
      </c>
    </row>
    <row r="41" spans="1:7">
      <c r="A41" s="1" t="s">
        <v>35</v>
      </c>
      <c r="B41" s="1" t="s">
        <v>29</v>
      </c>
      <c r="C41" s="1" t="s">
        <v>9</v>
      </c>
      <c r="D41" s="4">
        <v>0.13578333333333301</v>
      </c>
      <c r="E41" s="1">
        <v>1E-3</v>
      </c>
      <c r="F41" s="4">
        <f t="shared" si="0"/>
        <v>0.13478333333333301</v>
      </c>
      <c r="G41" s="1">
        <f t="shared" si="1"/>
        <v>0.83809999999999796</v>
      </c>
    </row>
    <row r="42" spans="1:7">
      <c r="A42" s="1" t="s">
        <v>35</v>
      </c>
      <c r="B42" s="1" t="s">
        <v>29</v>
      </c>
      <c r="C42" s="1" t="s">
        <v>10</v>
      </c>
      <c r="D42" s="4">
        <v>0.176683333333333</v>
      </c>
      <c r="E42" s="1">
        <v>1E-3</v>
      </c>
      <c r="F42" s="4">
        <f t="shared" si="0"/>
        <v>0.175683333333333</v>
      </c>
      <c r="G42" s="1">
        <f t="shared" si="1"/>
        <v>1.0834999999999981</v>
      </c>
    </row>
    <row r="43" spans="1:7">
      <c r="A43" s="1" t="s">
        <v>35</v>
      </c>
      <c r="B43" s="1" t="s">
        <v>29</v>
      </c>
      <c r="C43" s="1" t="s">
        <v>11</v>
      </c>
      <c r="D43" s="4">
        <v>0.148183333333333</v>
      </c>
      <c r="E43" s="1">
        <v>1E-3</v>
      </c>
      <c r="F43" s="4">
        <f t="shared" si="0"/>
        <v>0.147183333333333</v>
      </c>
      <c r="G43" s="1">
        <f t="shared" si="1"/>
        <v>0.91249999999999798</v>
      </c>
    </row>
    <row r="44" spans="1:7">
      <c r="A44" s="1" t="s">
        <v>35</v>
      </c>
      <c r="B44" s="1" t="s">
        <v>29</v>
      </c>
      <c r="C44" s="1" t="s">
        <v>13</v>
      </c>
      <c r="D44" s="4">
        <v>0.138383333333333</v>
      </c>
      <c r="E44" s="1">
        <v>1E-3</v>
      </c>
      <c r="F44" s="4">
        <f t="shared" si="0"/>
        <v>0.137383333333333</v>
      </c>
      <c r="G44" s="1">
        <f t="shared" si="1"/>
        <v>0.85369999999999802</v>
      </c>
    </row>
    <row r="45" spans="1:7">
      <c r="A45" s="1" t="s">
        <v>35</v>
      </c>
      <c r="B45" s="1" t="s">
        <v>29</v>
      </c>
      <c r="C45" s="1" t="s">
        <v>14</v>
      </c>
      <c r="D45" s="4">
        <v>0.219983333333333</v>
      </c>
      <c r="E45" s="1">
        <v>1E-3</v>
      </c>
      <c r="F45" s="4">
        <f t="shared" si="0"/>
        <v>0.218983333333333</v>
      </c>
      <c r="G45" s="1">
        <f t="shared" si="1"/>
        <v>1.3432999999999979</v>
      </c>
    </row>
    <row r="46" spans="1:7">
      <c r="A46" s="1" t="s">
        <v>35</v>
      </c>
      <c r="B46" s="1" t="s">
        <v>29</v>
      </c>
      <c r="C46" s="1" t="s">
        <v>15</v>
      </c>
      <c r="D46" s="4">
        <v>0.152683333333333</v>
      </c>
      <c r="E46" s="1">
        <v>1E-3</v>
      </c>
      <c r="F46" s="4">
        <f t="shared" si="0"/>
        <v>0.151683333333333</v>
      </c>
      <c r="G46" s="1">
        <f t="shared" si="1"/>
        <v>0.939499999999998</v>
      </c>
    </row>
    <row r="47" spans="1:7">
      <c r="A47" s="1" t="s">
        <v>35</v>
      </c>
      <c r="B47" s="1" t="s">
        <v>29</v>
      </c>
      <c r="C47" s="1" t="s">
        <v>17</v>
      </c>
      <c r="D47" s="4">
        <v>0.14098333333333299</v>
      </c>
      <c r="E47" s="1">
        <v>1E-3</v>
      </c>
      <c r="F47" s="4">
        <f t="shared" si="0"/>
        <v>0.13998333333333299</v>
      </c>
      <c r="G47" s="1">
        <f t="shared" si="1"/>
        <v>0.86929999999999785</v>
      </c>
    </row>
    <row r="48" spans="1:7">
      <c r="A48" s="1" t="s">
        <v>35</v>
      </c>
      <c r="B48" s="1" t="s">
        <v>29</v>
      </c>
      <c r="C48" s="1" t="s">
        <v>18</v>
      </c>
      <c r="D48" s="4">
        <v>0.198883333333333</v>
      </c>
      <c r="E48" s="1">
        <v>1E-3</v>
      </c>
      <c r="F48" s="4">
        <f t="shared" si="0"/>
        <v>0.19788333333333299</v>
      </c>
      <c r="G48" s="1">
        <f t="shared" si="1"/>
        <v>1.2166999999999979</v>
      </c>
    </row>
    <row r="49" spans="1:7">
      <c r="A49" s="1" t="s">
        <v>35</v>
      </c>
      <c r="B49" s="1" t="s">
        <v>29</v>
      </c>
      <c r="C49" s="1" t="s">
        <v>19</v>
      </c>
      <c r="D49" s="4">
        <v>0.18188333333333301</v>
      </c>
      <c r="E49" s="1">
        <v>1E-3</v>
      </c>
      <c r="F49" s="4">
        <f t="shared" si="0"/>
        <v>0.18088333333333301</v>
      </c>
      <c r="G49" s="1">
        <f t="shared" si="1"/>
        <v>1.114699999999998</v>
      </c>
    </row>
    <row r="50" spans="1:7">
      <c r="A50" s="1" t="s">
        <v>35</v>
      </c>
      <c r="B50" s="1" t="s">
        <v>29</v>
      </c>
      <c r="C50" s="1" t="s">
        <v>21</v>
      </c>
      <c r="D50" s="4">
        <v>0.143383333333333</v>
      </c>
      <c r="E50" s="1">
        <v>1E-3</v>
      </c>
      <c r="F50" s="4">
        <f t="shared" si="0"/>
        <v>0.142383333333333</v>
      </c>
      <c r="G50" s="1">
        <f t="shared" si="1"/>
        <v>0.88369999999999804</v>
      </c>
    </row>
    <row r="51" spans="1:7">
      <c r="A51" s="1" t="s">
        <v>35</v>
      </c>
      <c r="B51" s="1" t="s">
        <v>29</v>
      </c>
      <c r="C51" s="1" t="s">
        <v>22</v>
      </c>
      <c r="D51" s="4">
        <v>0.14118333333333299</v>
      </c>
      <c r="E51" s="1">
        <v>1E-3</v>
      </c>
      <c r="F51" s="4">
        <f t="shared" si="0"/>
        <v>0.14018333333333299</v>
      </c>
      <c r="G51" s="1">
        <f t="shared" si="1"/>
        <v>0.87049999999999783</v>
      </c>
    </row>
    <row r="52" spans="1:7">
      <c r="A52" s="1" t="s">
        <v>35</v>
      </c>
      <c r="B52" s="1" t="s">
        <v>29</v>
      </c>
      <c r="C52" s="1" t="s">
        <v>23</v>
      </c>
      <c r="D52" s="4">
        <v>0.14738333333333301</v>
      </c>
      <c r="E52" s="1">
        <v>1E-3</v>
      </c>
      <c r="F52" s="4">
        <f t="shared" si="0"/>
        <v>0.146383333333333</v>
      </c>
      <c r="G52" s="1">
        <f t="shared" si="1"/>
        <v>0.90769999999999795</v>
      </c>
    </row>
    <row r="53" spans="1:7">
      <c r="A53" s="1" t="s">
        <v>35</v>
      </c>
      <c r="B53" s="1" t="s">
        <v>29</v>
      </c>
      <c r="C53" s="1" t="s">
        <v>25</v>
      </c>
      <c r="D53" s="4">
        <v>0.131583333333333</v>
      </c>
      <c r="E53" s="1">
        <v>1E-3</v>
      </c>
      <c r="F53" s="4">
        <f t="shared" si="0"/>
        <v>0.130583333333333</v>
      </c>
      <c r="G53" s="1">
        <f t="shared" si="1"/>
        <v>0.81289999999999796</v>
      </c>
    </row>
    <row r="54" spans="1:7">
      <c r="A54" s="1" t="s">
        <v>35</v>
      </c>
      <c r="B54" s="1" t="s">
        <v>29</v>
      </c>
      <c r="C54" s="1" t="s">
        <v>26</v>
      </c>
      <c r="D54" s="4">
        <v>0.17758333333333301</v>
      </c>
      <c r="E54" s="1">
        <v>1E-3</v>
      </c>
      <c r="F54" s="4">
        <f t="shared" si="0"/>
        <v>0.17658333333333301</v>
      </c>
      <c r="G54" s="1">
        <f t="shared" si="1"/>
        <v>1.088899999999998</v>
      </c>
    </row>
    <row r="55" spans="1:7">
      <c r="A55" s="1" t="s">
        <v>35</v>
      </c>
      <c r="B55" s="1" t="s">
        <v>29</v>
      </c>
      <c r="C55" s="1" t="s">
        <v>27</v>
      </c>
      <c r="D55" s="4">
        <v>0.16718333333333299</v>
      </c>
      <c r="E55" s="1">
        <v>1E-3</v>
      </c>
      <c r="F55" s="4">
        <f t="shared" si="0"/>
        <v>0.16618333333333299</v>
      </c>
      <c r="G55" s="1">
        <f t="shared" si="1"/>
        <v>1.0264999999999977</v>
      </c>
    </row>
    <row r="56" spans="1:7">
      <c r="A56" s="1" t="s">
        <v>35</v>
      </c>
      <c r="B56" s="1" t="s">
        <v>30</v>
      </c>
      <c r="C56" s="1" t="s">
        <v>5</v>
      </c>
      <c r="D56" s="4">
        <v>0.18518333333333301</v>
      </c>
      <c r="E56" s="1">
        <v>1E-3</v>
      </c>
      <c r="F56" s="4">
        <f t="shared" si="0"/>
        <v>0.184183333333333</v>
      </c>
      <c r="G56" s="1">
        <f t="shared" si="1"/>
        <v>1.1344999999999981</v>
      </c>
    </row>
    <row r="57" spans="1:7">
      <c r="A57" s="1" t="s">
        <v>35</v>
      </c>
      <c r="B57" s="1" t="s">
        <v>30</v>
      </c>
      <c r="C57" s="1" t="s">
        <v>6</v>
      </c>
      <c r="D57" s="4">
        <v>0.18088333333333301</v>
      </c>
      <c r="E57" s="1">
        <v>1E-3</v>
      </c>
      <c r="F57" s="4">
        <f t="shared" si="0"/>
        <v>0.17988333333333301</v>
      </c>
      <c r="G57" s="1">
        <f t="shared" si="1"/>
        <v>1.1086999999999978</v>
      </c>
    </row>
    <row r="58" spans="1:7">
      <c r="A58" s="1" t="s">
        <v>35</v>
      </c>
      <c r="B58" s="1" t="s">
        <v>30</v>
      </c>
      <c r="C58" s="1" t="s">
        <v>7</v>
      </c>
      <c r="D58" s="4">
        <v>0.17228333333333301</v>
      </c>
      <c r="E58" s="1">
        <v>1E-3</v>
      </c>
      <c r="F58" s="4">
        <f t="shared" si="0"/>
        <v>0.17128333333333301</v>
      </c>
      <c r="G58" s="1">
        <f t="shared" si="1"/>
        <v>1.0570999999999979</v>
      </c>
    </row>
    <row r="59" spans="1:7">
      <c r="A59" s="1" t="s">
        <v>35</v>
      </c>
      <c r="B59" s="1" t="s">
        <v>30</v>
      </c>
      <c r="C59" s="1" t="s">
        <v>9</v>
      </c>
      <c r="D59" s="4">
        <v>0.180183333333333</v>
      </c>
      <c r="E59" s="1">
        <v>1E-3</v>
      </c>
      <c r="F59" s="4">
        <f t="shared" si="0"/>
        <v>0.179183333333333</v>
      </c>
      <c r="G59" s="1">
        <f t="shared" si="1"/>
        <v>1.104499999999998</v>
      </c>
    </row>
    <row r="60" spans="1:7">
      <c r="A60" s="1" t="s">
        <v>35</v>
      </c>
      <c r="B60" s="1" t="s">
        <v>30</v>
      </c>
      <c r="C60" s="1" t="s">
        <v>10</v>
      </c>
      <c r="D60" s="4">
        <v>0.161783333333333</v>
      </c>
      <c r="E60" s="1">
        <v>1E-3</v>
      </c>
      <c r="F60" s="4">
        <f t="shared" si="0"/>
        <v>0.160783333333333</v>
      </c>
      <c r="G60" s="1">
        <f t="shared" si="1"/>
        <v>0.99409999999999799</v>
      </c>
    </row>
    <row r="61" spans="1:7">
      <c r="A61" s="1" t="s">
        <v>35</v>
      </c>
      <c r="B61" s="1" t="s">
        <v>30</v>
      </c>
      <c r="C61" s="1" t="s">
        <v>11</v>
      </c>
      <c r="D61" s="4">
        <v>0.16038333333333299</v>
      </c>
      <c r="E61" s="1">
        <v>1E-3</v>
      </c>
      <c r="F61" s="4">
        <f t="shared" si="0"/>
        <v>0.15938333333333299</v>
      </c>
      <c r="G61" s="1">
        <f t="shared" si="1"/>
        <v>0.98569999999999791</v>
      </c>
    </row>
    <row r="62" spans="1:7">
      <c r="A62" s="1" t="s">
        <v>35</v>
      </c>
      <c r="B62" s="1" t="s">
        <v>30</v>
      </c>
      <c r="C62" s="1" t="s">
        <v>13</v>
      </c>
      <c r="D62" s="4">
        <v>0.13488333333333299</v>
      </c>
      <c r="E62" s="1">
        <v>1E-3</v>
      </c>
      <c r="F62" s="4">
        <f t="shared" si="0"/>
        <v>0.13388333333333299</v>
      </c>
      <c r="G62" s="1">
        <f t="shared" si="1"/>
        <v>0.83269999999999789</v>
      </c>
    </row>
    <row r="63" spans="1:7">
      <c r="A63" s="1" t="s">
        <v>35</v>
      </c>
      <c r="B63" s="1" t="s">
        <v>30</v>
      </c>
      <c r="C63" s="1" t="s">
        <v>14</v>
      </c>
      <c r="D63" s="4">
        <v>0.17098333333333299</v>
      </c>
      <c r="E63" s="1">
        <v>1E-3</v>
      </c>
      <c r="F63" s="4">
        <f t="shared" si="0"/>
        <v>0.16998333333333299</v>
      </c>
      <c r="G63" s="1">
        <f t="shared" si="1"/>
        <v>1.0492999999999979</v>
      </c>
    </row>
    <row r="64" spans="1:7">
      <c r="A64" s="1" t="s">
        <v>35</v>
      </c>
      <c r="B64" s="1" t="s">
        <v>30</v>
      </c>
      <c r="C64" s="1" t="s">
        <v>15</v>
      </c>
      <c r="D64" s="4">
        <v>0.14778333333333299</v>
      </c>
      <c r="E64" s="1">
        <v>1E-3</v>
      </c>
      <c r="F64" s="4">
        <f t="shared" si="0"/>
        <v>0.14678333333333299</v>
      </c>
      <c r="G64" s="1">
        <f t="shared" si="1"/>
        <v>0.9100999999999978</v>
      </c>
    </row>
    <row r="65" spans="1:7">
      <c r="A65" s="1" t="s">
        <v>35</v>
      </c>
      <c r="B65" s="1" t="s">
        <v>30</v>
      </c>
      <c r="C65" s="1" t="s">
        <v>17</v>
      </c>
      <c r="D65" s="4">
        <v>0.18538333333333301</v>
      </c>
      <c r="E65" s="1">
        <v>1E-3</v>
      </c>
      <c r="F65" s="4">
        <f t="shared" si="0"/>
        <v>0.18438333333333301</v>
      </c>
      <c r="G65" s="1">
        <f t="shared" si="1"/>
        <v>1.1356999999999982</v>
      </c>
    </row>
    <row r="66" spans="1:7">
      <c r="A66" s="1" t="s">
        <v>35</v>
      </c>
      <c r="B66" s="1" t="s">
        <v>30</v>
      </c>
      <c r="C66" s="1" t="s">
        <v>18</v>
      </c>
      <c r="D66" s="4">
        <v>0.172383333333333</v>
      </c>
      <c r="E66" s="1">
        <v>1E-3</v>
      </c>
      <c r="F66" s="4">
        <f t="shared" si="0"/>
        <v>0.171383333333333</v>
      </c>
      <c r="G66" s="1">
        <f t="shared" si="1"/>
        <v>1.0576999999999979</v>
      </c>
    </row>
    <row r="67" spans="1:7">
      <c r="A67" s="1" t="s">
        <v>35</v>
      </c>
      <c r="B67" s="1" t="s">
        <v>30</v>
      </c>
      <c r="C67" s="1" t="s">
        <v>19</v>
      </c>
      <c r="D67" s="4">
        <v>0.13878333333333301</v>
      </c>
      <c r="E67" s="1">
        <v>1E-3</v>
      </c>
      <c r="F67" s="4">
        <f t="shared" ref="F67:F130" si="2">D67-E67</f>
        <v>0.13778333333333301</v>
      </c>
      <c r="G67" s="1">
        <f t="shared" ref="G67:G130" si="3">0.6*(F67+0.0049)*1.5/0.15</f>
        <v>0.85609999999999797</v>
      </c>
    </row>
    <row r="68" spans="1:7">
      <c r="A68" s="1" t="s">
        <v>35</v>
      </c>
      <c r="B68" s="1" t="s">
        <v>30</v>
      </c>
      <c r="C68" s="1" t="s">
        <v>21</v>
      </c>
      <c r="D68" s="4">
        <v>0.13728333333333301</v>
      </c>
      <c r="E68" s="1">
        <v>1E-3</v>
      </c>
      <c r="F68" s="4">
        <f t="shared" si="2"/>
        <v>0.13628333333333301</v>
      </c>
      <c r="G68" s="1">
        <f t="shared" si="3"/>
        <v>0.84709999999999808</v>
      </c>
    </row>
    <row r="69" spans="1:7">
      <c r="A69" s="1" t="s">
        <v>35</v>
      </c>
      <c r="B69" s="1" t="s">
        <v>30</v>
      </c>
      <c r="C69" s="1" t="s">
        <v>22</v>
      </c>
      <c r="D69" s="4">
        <v>0.13238333333333299</v>
      </c>
      <c r="E69" s="1">
        <v>1E-3</v>
      </c>
      <c r="F69" s="4">
        <f t="shared" si="2"/>
        <v>0.13138333333333299</v>
      </c>
      <c r="G69" s="1">
        <f t="shared" si="3"/>
        <v>0.81769999999999787</v>
      </c>
    </row>
    <row r="70" spans="1:7">
      <c r="A70" s="1" t="s">
        <v>35</v>
      </c>
      <c r="B70" s="1" t="s">
        <v>30</v>
      </c>
      <c r="C70" s="1" t="s">
        <v>23</v>
      </c>
      <c r="D70" s="4">
        <v>0.23548333333333299</v>
      </c>
      <c r="E70" s="1">
        <v>1E-3</v>
      </c>
      <c r="F70" s="4">
        <f t="shared" si="2"/>
        <v>0.23448333333333299</v>
      </c>
      <c r="G70" s="1">
        <f t="shared" si="3"/>
        <v>1.4362999999999979</v>
      </c>
    </row>
    <row r="71" spans="1:7">
      <c r="A71" s="1" t="s">
        <v>35</v>
      </c>
      <c r="B71" s="1" t="s">
        <v>30</v>
      </c>
      <c r="C71" s="1" t="s">
        <v>25</v>
      </c>
      <c r="D71" s="4">
        <v>0.140083333333333</v>
      </c>
      <c r="E71" s="1">
        <v>1E-3</v>
      </c>
      <c r="F71" s="4">
        <f t="shared" si="2"/>
        <v>0.139083333333333</v>
      </c>
      <c r="G71" s="1">
        <f t="shared" si="3"/>
        <v>0.86389999999999789</v>
      </c>
    </row>
    <row r="72" spans="1:7">
      <c r="A72" s="1" t="s">
        <v>35</v>
      </c>
      <c r="B72" s="1" t="s">
        <v>30</v>
      </c>
      <c r="C72" s="1" t="s">
        <v>26</v>
      </c>
      <c r="D72" s="4">
        <v>0.19848333333333301</v>
      </c>
      <c r="E72" s="1">
        <v>1E-3</v>
      </c>
      <c r="F72" s="4">
        <f t="shared" si="2"/>
        <v>0.19748333333333301</v>
      </c>
      <c r="G72" s="1">
        <f t="shared" si="3"/>
        <v>1.2142999999999979</v>
      </c>
    </row>
    <row r="73" spans="1:7">
      <c r="A73" s="1" t="s">
        <v>35</v>
      </c>
      <c r="B73" s="1" t="s">
        <v>30</v>
      </c>
      <c r="C73" s="1" t="s">
        <v>27</v>
      </c>
      <c r="D73" s="4">
        <v>0.16058333333333299</v>
      </c>
      <c r="E73" s="1">
        <v>1E-3</v>
      </c>
      <c r="F73" s="4">
        <f t="shared" si="2"/>
        <v>0.15958333333333299</v>
      </c>
      <c r="G73" s="1">
        <f t="shared" si="3"/>
        <v>0.986899999999998</v>
      </c>
    </row>
    <row r="74" spans="1:7">
      <c r="A74" s="1" t="s">
        <v>35</v>
      </c>
      <c r="B74" s="1" t="s">
        <v>31</v>
      </c>
      <c r="C74" s="1" t="s">
        <v>5</v>
      </c>
      <c r="D74" s="4">
        <v>0.17731250000000001</v>
      </c>
      <c r="E74" s="1">
        <v>1E-3</v>
      </c>
      <c r="F74" s="4">
        <f t="shared" si="2"/>
        <v>0.17631250000000001</v>
      </c>
      <c r="G74" s="1">
        <f t="shared" si="3"/>
        <v>1.087275</v>
      </c>
    </row>
    <row r="75" spans="1:7">
      <c r="A75" s="1" t="s">
        <v>35</v>
      </c>
      <c r="B75" s="1" t="s">
        <v>31</v>
      </c>
      <c r="C75" s="1" t="s">
        <v>6</v>
      </c>
      <c r="D75" s="4">
        <v>0.13621249999999999</v>
      </c>
      <c r="E75" s="1">
        <v>1E-3</v>
      </c>
      <c r="F75" s="4">
        <f t="shared" si="2"/>
        <v>0.13521249999999999</v>
      </c>
      <c r="G75" s="1">
        <f t="shared" si="3"/>
        <v>0.84067499999999984</v>
      </c>
    </row>
    <row r="76" spans="1:7">
      <c r="A76" s="1" t="s">
        <v>35</v>
      </c>
      <c r="B76" s="1" t="s">
        <v>31</v>
      </c>
      <c r="C76" s="1" t="s">
        <v>7</v>
      </c>
      <c r="D76" s="4">
        <v>0.1837125</v>
      </c>
      <c r="E76" s="1">
        <v>1E-3</v>
      </c>
      <c r="F76" s="4">
        <f t="shared" si="2"/>
        <v>0.1827125</v>
      </c>
      <c r="G76" s="1">
        <f t="shared" si="3"/>
        <v>1.125675</v>
      </c>
    </row>
    <row r="77" spans="1:7">
      <c r="A77" s="1" t="s">
        <v>35</v>
      </c>
      <c r="B77" s="1" t="s">
        <v>31</v>
      </c>
      <c r="C77" s="1" t="s">
        <v>9</v>
      </c>
      <c r="D77" s="4">
        <v>0.16161249999999999</v>
      </c>
      <c r="E77" s="1">
        <v>1E-3</v>
      </c>
      <c r="F77" s="4">
        <f t="shared" si="2"/>
        <v>0.16061249999999999</v>
      </c>
      <c r="G77" s="1">
        <f t="shared" si="3"/>
        <v>0.99307499999999982</v>
      </c>
    </row>
    <row r="78" spans="1:7">
      <c r="A78" s="1" t="s">
        <v>35</v>
      </c>
      <c r="B78" s="1" t="s">
        <v>31</v>
      </c>
      <c r="C78" s="1" t="s">
        <v>10</v>
      </c>
      <c r="D78" s="4">
        <v>0.17471249999999999</v>
      </c>
      <c r="E78" s="1">
        <v>1E-3</v>
      </c>
      <c r="F78" s="4">
        <f t="shared" si="2"/>
        <v>0.17371249999999999</v>
      </c>
      <c r="G78" s="1">
        <f t="shared" si="3"/>
        <v>1.0716749999999999</v>
      </c>
    </row>
    <row r="79" spans="1:7">
      <c r="A79" s="1" t="s">
        <v>35</v>
      </c>
      <c r="B79" s="1" t="s">
        <v>31</v>
      </c>
      <c r="C79" s="1" t="s">
        <v>11</v>
      </c>
      <c r="D79" s="4">
        <v>0.1693125</v>
      </c>
      <c r="E79" s="1">
        <v>1E-3</v>
      </c>
      <c r="F79" s="4">
        <f t="shared" si="2"/>
        <v>0.1683125</v>
      </c>
      <c r="G79" s="1">
        <f t="shared" si="3"/>
        <v>1.0392749999999999</v>
      </c>
    </row>
    <row r="80" spans="1:7">
      <c r="A80" s="1" t="s">
        <v>35</v>
      </c>
      <c r="B80" s="1" t="s">
        <v>31</v>
      </c>
      <c r="C80" s="1" t="s">
        <v>13</v>
      </c>
      <c r="D80" s="4">
        <v>0.21581249999999999</v>
      </c>
      <c r="E80" s="1">
        <v>1E-3</v>
      </c>
      <c r="F80" s="4">
        <f t="shared" si="2"/>
        <v>0.21481249999999999</v>
      </c>
      <c r="G80" s="1">
        <f t="shared" si="3"/>
        <v>1.3182749999999999</v>
      </c>
    </row>
    <row r="81" spans="1:7">
      <c r="A81" s="1" t="s">
        <v>35</v>
      </c>
      <c r="B81" s="1" t="s">
        <v>31</v>
      </c>
      <c r="C81" s="1" t="s">
        <v>14</v>
      </c>
      <c r="D81" s="4">
        <v>0.15111250000000001</v>
      </c>
      <c r="E81" s="1">
        <v>1E-3</v>
      </c>
      <c r="F81" s="4">
        <f t="shared" si="2"/>
        <v>0.15011250000000001</v>
      </c>
      <c r="G81" s="1">
        <f t="shared" si="3"/>
        <v>0.93007499999999987</v>
      </c>
    </row>
    <row r="82" spans="1:7">
      <c r="A82" s="1" t="s">
        <v>35</v>
      </c>
      <c r="B82" s="1" t="s">
        <v>31</v>
      </c>
      <c r="C82" s="1" t="s">
        <v>15</v>
      </c>
      <c r="D82" s="4">
        <v>0.17381250000000001</v>
      </c>
      <c r="E82" s="1">
        <v>1E-3</v>
      </c>
      <c r="F82" s="4">
        <f t="shared" si="2"/>
        <v>0.17281250000000001</v>
      </c>
      <c r="G82" s="1">
        <f t="shared" si="3"/>
        <v>1.0662750000000001</v>
      </c>
    </row>
    <row r="83" spans="1:7">
      <c r="A83" s="1" t="s">
        <v>35</v>
      </c>
      <c r="B83" s="1" t="s">
        <v>31</v>
      </c>
      <c r="C83" s="1" t="s">
        <v>17</v>
      </c>
      <c r="D83" s="4">
        <v>0.1429125</v>
      </c>
      <c r="E83" s="1">
        <v>1E-3</v>
      </c>
      <c r="F83" s="4">
        <f t="shared" si="2"/>
        <v>0.1419125</v>
      </c>
      <c r="G83" s="1">
        <f t="shared" si="3"/>
        <v>0.88087499999999985</v>
      </c>
    </row>
    <row r="84" spans="1:7">
      <c r="A84" s="1" t="s">
        <v>35</v>
      </c>
      <c r="B84" s="1" t="s">
        <v>31</v>
      </c>
      <c r="C84" s="1" t="s">
        <v>18</v>
      </c>
      <c r="D84" s="4">
        <v>0.1663125</v>
      </c>
      <c r="E84" s="1">
        <v>1E-3</v>
      </c>
      <c r="F84" s="4">
        <f t="shared" si="2"/>
        <v>0.1653125</v>
      </c>
      <c r="G84" s="1">
        <f t="shared" si="3"/>
        <v>1.0212750000000002</v>
      </c>
    </row>
    <row r="85" spans="1:7">
      <c r="A85" s="1" t="s">
        <v>35</v>
      </c>
      <c r="B85" s="1" t="s">
        <v>31</v>
      </c>
      <c r="C85" s="1" t="s">
        <v>19</v>
      </c>
      <c r="D85" s="4">
        <v>0.14531250000000001</v>
      </c>
      <c r="E85" s="1">
        <v>1E-3</v>
      </c>
      <c r="F85" s="4">
        <f t="shared" si="2"/>
        <v>0.14431250000000001</v>
      </c>
      <c r="G85" s="1">
        <f t="shared" si="3"/>
        <v>0.89527500000000004</v>
      </c>
    </row>
    <row r="86" spans="1:7">
      <c r="A86" s="1" t="s">
        <v>35</v>
      </c>
      <c r="B86" s="1" t="s">
        <v>31</v>
      </c>
      <c r="C86" s="1" t="s">
        <v>21</v>
      </c>
      <c r="D86" s="4">
        <v>0.16571250000000001</v>
      </c>
      <c r="E86" s="1">
        <v>1E-3</v>
      </c>
      <c r="F86" s="4">
        <f t="shared" si="2"/>
        <v>0.16471250000000001</v>
      </c>
      <c r="G86" s="1">
        <f t="shared" si="3"/>
        <v>1.0176749999999999</v>
      </c>
    </row>
    <row r="87" spans="1:7">
      <c r="A87" s="1" t="s">
        <v>35</v>
      </c>
      <c r="B87" s="1" t="s">
        <v>31</v>
      </c>
      <c r="C87" s="1" t="s">
        <v>22</v>
      </c>
      <c r="D87" s="4">
        <v>0.1570125</v>
      </c>
      <c r="E87" s="1">
        <v>1E-3</v>
      </c>
      <c r="F87" s="4">
        <f t="shared" si="2"/>
        <v>0.1560125</v>
      </c>
      <c r="G87" s="1">
        <f t="shared" si="3"/>
        <v>0.96547499999999997</v>
      </c>
    </row>
    <row r="88" spans="1:7">
      <c r="A88" s="1" t="s">
        <v>35</v>
      </c>
      <c r="B88" s="1" t="s">
        <v>31</v>
      </c>
      <c r="C88" s="1" t="s">
        <v>23</v>
      </c>
      <c r="D88" s="4">
        <v>0.16451250000000001</v>
      </c>
      <c r="E88" s="1">
        <v>1E-3</v>
      </c>
      <c r="F88" s="4">
        <f t="shared" si="2"/>
        <v>0.16351250000000001</v>
      </c>
      <c r="G88" s="1">
        <f t="shared" si="3"/>
        <v>1.010475</v>
      </c>
    </row>
    <row r="89" spans="1:7">
      <c r="A89" s="1" t="s">
        <v>35</v>
      </c>
      <c r="B89" s="1" t="s">
        <v>31</v>
      </c>
      <c r="C89" s="1" t="s">
        <v>25</v>
      </c>
      <c r="D89" s="4">
        <v>0.27231250000000001</v>
      </c>
      <c r="E89" s="1">
        <v>1E-3</v>
      </c>
      <c r="F89" s="4">
        <f t="shared" si="2"/>
        <v>0.27131250000000001</v>
      </c>
      <c r="G89" s="1">
        <f t="shared" si="3"/>
        <v>1.6572750000000001</v>
      </c>
    </row>
    <row r="90" spans="1:7">
      <c r="A90" s="1" t="s">
        <v>35</v>
      </c>
      <c r="B90" s="1" t="s">
        <v>31</v>
      </c>
      <c r="C90" s="1" t="s">
        <v>26</v>
      </c>
      <c r="D90" s="4">
        <v>0.18881249999999999</v>
      </c>
      <c r="E90" s="1">
        <v>1E-3</v>
      </c>
      <c r="F90" s="4">
        <f t="shared" si="2"/>
        <v>0.18781249999999999</v>
      </c>
      <c r="G90" s="1">
        <f t="shared" si="3"/>
        <v>1.1562749999999997</v>
      </c>
    </row>
    <row r="91" spans="1:7">
      <c r="A91" s="1" t="s">
        <v>35</v>
      </c>
      <c r="B91" s="1" t="s">
        <v>31</v>
      </c>
      <c r="C91" s="1" t="s">
        <v>27</v>
      </c>
      <c r="D91" s="4">
        <v>0.1923125</v>
      </c>
      <c r="E91" s="1">
        <v>1E-3</v>
      </c>
      <c r="F91" s="4">
        <f t="shared" si="2"/>
        <v>0.1913125</v>
      </c>
      <c r="G91" s="1">
        <f t="shared" si="3"/>
        <v>1.1772749999999998</v>
      </c>
    </row>
    <row r="92" spans="1:7">
      <c r="A92" s="1" t="s">
        <v>35</v>
      </c>
      <c r="B92" s="1" t="s">
        <v>32</v>
      </c>
      <c r="C92" s="2" t="s">
        <v>4</v>
      </c>
      <c r="D92" s="4">
        <v>0.16471250000000001</v>
      </c>
      <c r="E92" s="1">
        <v>1E-3</v>
      </c>
      <c r="F92" s="4">
        <f t="shared" si="2"/>
        <v>0.16371250000000001</v>
      </c>
      <c r="G92" s="1">
        <f t="shared" si="3"/>
        <v>1.0116750000000001</v>
      </c>
    </row>
    <row r="93" spans="1:7">
      <c r="A93" s="1" t="s">
        <v>35</v>
      </c>
      <c r="B93" s="1" t="s">
        <v>32</v>
      </c>
      <c r="C93" s="2" t="s">
        <v>6</v>
      </c>
      <c r="D93" s="4">
        <v>0.16271250000000001</v>
      </c>
      <c r="E93" s="1">
        <v>1E-3</v>
      </c>
      <c r="F93" s="4">
        <f t="shared" si="2"/>
        <v>0.16171250000000001</v>
      </c>
      <c r="G93" s="1">
        <f t="shared" si="3"/>
        <v>0.99967500000000009</v>
      </c>
    </row>
    <row r="94" spans="1:7">
      <c r="A94" s="1" t="s">
        <v>35</v>
      </c>
      <c r="B94" s="1" t="s">
        <v>32</v>
      </c>
      <c r="C94" s="2" t="s">
        <v>7</v>
      </c>
      <c r="D94" s="4">
        <v>0.18741250000000001</v>
      </c>
      <c r="E94" s="1">
        <v>1E-3</v>
      </c>
      <c r="F94" s="4">
        <f t="shared" si="2"/>
        <v>0.18641250000000001</v>
      </c>
      <c r="G94" s="1">
        <f t="shared" si="3"/>
        <v>1.147875</v>
      </c>
    </row>
    <row r="95" spans="1:7">
      <c r="A95" s="1" t="s">
        <v>35</v>
      </c>
      <c r="B95" s="1" t="s">
        <v>32</v>
      </c>
      <c r="C95" s="2" t="s">
        <v>8</v>
      </c>
      <c r="D95" s="4">
        <v>0.13801250000000001</v>
      </c>
      <c r="E95" s="1">
        <v>1E-3</v>
      </c>
      <c r="F95" s="4">
        <f t="shared" si="2"/>
        <v>0.13701250000000001</v>
      </c>
      <c r="G95" s="1">
        <f t="shared" si="3"/>
        <v>0.85147500000000009</v>
      </c>
    </row>
    <row r="96" spans="1:7">
      <c r="A96" s="1" t="s">
        <v>35</v>
      </c>
      <c r="B96" s="1" t="s">
        <v>32</v>
      </c>
      <c r="C96" s="2" t="s">
        <v>10</v>
      </c>
      <c r="D96" s="4">
        <v>0.13141249999999999</v>
      </c>
      <c r="E96" s="1">
        <v>1E-3</v>
      </c>
      <c r="F96" s="4">
        <f t="shared" si="2"/>
        <v>0.13041249999999999</v>
      </c>
      <c r="G96" s="1">
        <f t="shared" si="3"/>
        <v>0.8118749999999999</v>
      </c>
    </row>
    <row r="97" spans="1:7">
      <c r="A97" s="1" t="s">
        <v>35</v>
      </c>
      <c r="B97" s="1" t="s">
        <v>32</v>
      </c>
      <c r="C97" s="2" t="s">
        <v>11</v>
      </c>
      <c r="D97" s="4">
        <v>0.14131250000000001</v>
      </c>
      <c r="E97" s="1">
        <v>1E-3</v>
      </c>
      <c r="F97" s="4">
        <f t="shared" si="2"/>
        <v>0.14031250000000001</v>
      </c>
      <c r="G97" s="1">
        <f t="shared" si="3"/>
        <v>0.87127499999999991</v>
      </c>
    </row>
    <row r="98" spans="1:7">
      <c r="A98" s="1" t="s">
        <v>35</v>
      </c>
      <c r="B98" s="1" t="s">
        <v>32</v>
      </c>
      <c r="C98" s="2" t="s">
        <v>12</v>
      </c>
      <c r="D98" s="4">
        <v>0.15811249999999999</v>
      </c>
      <c r="E98" s="1">
        <v>1E-3</v>
      </c>
      <c r="F98" s="4">
        <f t="shared" si="2"/>
        <v>0.15711249999999999</v>
      </c>
      <c r="G98" s="1">
        <f t="shared" si="3"/>
        <v>0.97207499999999991</v>
      </c>
    </row>
    <row r="99" spans="1:7">
      <c r="A99" s="1" t="s">
        <v>35</v>
      </c>
      <c r="B99" s="1" t="s">
        <v>32</v>
      </c>
      <c r="C99" s="2" t="s">
        <v>14</v>
      </c>
      <c r="D99" s="4">
        <v>0.13421250000000001</v>
      </c>
      <c r="E99" s="1">
        <v>1E-3</v>
      </c>
      <c r="F99" s="4">
        <f t="shared" si="2"/>
        <v>0.13321250000000001</v>
      </c>
      <c r="G99" s="1">
        <f t="shared" si="3"/>
        <v>0.82867500000000005</v>
      </c>
    </row>
    <row r="100" spans="1:7">
      <c r="A100" s="1" t="s">
        <v>35</v>
      </c>
      <c r="B100" s="1" t="s">
        <v>32</v>
      </c>
      <c r="C100" s="2" t="s">
        <v>15</v>
      </c>
      <c r="D100" s="4">
        <v>0.1935125</v>
      </c>
      <c r="E100" s="1">
        <v>1E-3</v>
      </c>
      <c r="F100" s="4">
        <f t="shared" si="2"/>
        <v>0.1925125</v>
      </c>
      <c r="G100" s="1">
        <f t="shared" si="3"/>
        <v>1.1844749999999999</v>
      </c>
    </row>
    <row r="101" spans="1:7">
      <c r="A101" s="1" t="s">
        <v>35</v>
      </c>
      <c r="B101" s="1" t="s">
        <v>32</v>
      </c>
      <c r="C101" s="2" t="s">
        <v>16</v>
      </c>
      <c r="D101" s="4">
        <v>0.13011249999999999</v>
      </c>
      <c r="E101" s="1">
        <v>1E-3</v>
      </c>
      <c r="F101" s="4">
        <f t="shared" si="2"/>
        <v>0.12911249999999999</v>
      </c>
      <c r="G101" s="1">
        <f t="shared" si="3"/>
        <v>0.80407499999999987</v>
      </c>
    </row>
    <row r="102" spans="1:7">
      <c r="A102" s="1" t="s">
        <v>35</v>
      </c>
      <c r="B102" s="1" t="s">
        <v>32</v>
      </c>
      <c r="C102" s="2" t="s">
        <v>18</v>
      </c>
      <c r="D102" s="4">
        <v>0.1535125</v>
      </c>
      <c r="E102" s="1">
        <v>1E-3</v>
      </c>
      <c r="F102" s="4">
        <f t="shared" si="2"/>
        <v>0.1525125</v>
      </c>
      <c r="G102" s="1">
        <f t="shared" si="3"/>
        <v>0.94447499999999984</v>
      </c>
    </row>
    <row r="103" spans="1:7">
      <c r="A103" s="1" t="s">
        <v>35</v>
      </c>
      <c r="B103" s="1" t="s">
        <v>32</v>
      </c>
      <c r="C103" s="2" t="s">
        <v>19</v>
      </c>
      <c r="D103" s="4">
        <v>0.1226125</v>
      </c>
      <c r="E103" s="1">
        <v>1E-3</v>
      </c>
      <c r="F103" s="4">
        <f t="shared" si="2"/>
        <v>0.1216125</v>
      </c>
      <c r="G103" s="1">
        <f t="shared" si="3"/>
        <v>0.75907500000000006</v>
      </c>
    </row>
    <row r="104" spans="1:7">
      <c r="A104" s="1" t="s">
        <v>35</v>
      </c>
      <c r="B104" s="1" t="s">
        <v>32</v>
      </c>
      <c r="C104" s="2" t="s">
        <v>20</v>
      </c>
      <c r="D104" s="4">
        <v>0.1391125</v>
      </c>
      <c r="E104" s="1">
        <v>1E-3</v>
      </c>
      <c r="F104" s="4">
        <f t="shared" si="2"/>
        <v>0.1381125</v>
      </c>
      <c r="G104" s="1">
        <f t="shared" si="3"/>
        <v>0.85807500000000003</v>
      </c>
    </row>
    <row r="105" spans="1:7">
      <c r="A105" s="1" t="s">
        <v>35</v>
      </c>
      <c r="B105" s="1" t="s">
        <v>32</v>
      </c>
      <c r="C105" s="2" t="s">
        <v>22</v>
      </c>
      <c r="D105" s="4">
        <v>0.1794125</v>
      </c>
      <c r="E105" s="1">
        <v>1E-3</v>
      </c>
      <c r="F105" s="4">
        <f t="shared" si="2"/>
        <v>0.1784125</v>
      </c>
      <c r="G105" s="1">
        <f t="shared" si="3"/>
        <v>1.0998749999999999</v>
      </c>
    </row>
    <row r="106" spans="1:7">
      <c r="A106" s="1" t="s">
        <v>35</v>
      </c>
      <c r="B106" s="1" t="s">
        <v>32</v>
      </c>
      <c r="C106" s="2" t="s">
        <v>23</v>
      </c>
      <c r="D106" s="4">
        <v>0.15061250000000001</v>
      </c>
      <c r="E106" s="1">
        <v>1E-3</v>
      </c>
      <c r="F106" s="4">
        <f t="shared" si="2"/>
        <v>0.14961250000000001</v>
      </c>
      <c r="G106" s="1">
        <f t="shared" si="3"/>
        <v>0.92707499999999998</v>
      </c>
    </row>
    <row r="107" spans="1:7">
      <c r="A107" s="1" t="s">
        <v>35</v>
      </c>
      <c r="B107" s="1" t="s">
        <v>32</v>
      </c>
      <c r="C107" s="2" t="s">
        <v>24</v>
      </c>
      <c r="D107" s="4">
        <v>0.12641250000000001</v>
      </c>
      <c r="E107" s="1">
        <v>1E-3</v>
      </c>
      <c r="F107" s="4">
        <f t="shared" si="2"/>
        <v>0.12541250000000001</v>
      </c>
      <c r="G107" s="1">
        <f t="shared" si="3"/>
        <v>0.78187499999999999</v>
      </c>
    </row>
    <row r="108" spans="1:7">
      <c r="A108" s="1" t="s">
        <v>35</v>
      </c>
      <c r="B108" s="1" t="s">
        <v>32</v>
      </c>
      <c r="C108" s="2" t="s">
        <v>26</v>
      </c>
      <c r="D108" s="4">
        <v>0.14931249999999999</v>
      </c>
      <c r="E108" s="1">
        <v>1E-3</v>
      </c>
      <c r="F108" s="4">
        <f t="shared" si="2"/>
        <v>0.14831249999999999</v>
      </c>
      <c r="G108" s="1">
        <f t="shared" si="3"/>
        <v>0.91927499999999984</v>
      </c>
    </row>
    <row r="109" spans="1:7">
      <c r="A109" s="1" t="s">
        <v>35</v>
      </c>
      <c r="B109" s="1" t="s">
        <v>32</v>
      </c>
      <c r="C109" s="2" t="s">
        <v>27</v>
      </c>
      <c r="D109" s="4">
        <v>0.16191249999999999</v>
      </c>
      <c r="E109" s="1">
        <v>1E-3</v>
      </c>
      <c r="F109" s="4">
        <f t="shared" si="2"/>
        <v>0.16091249999999999</v>
      </c>
      <c r="G109" s="1">
        <f t="shared" si="3"/>
        <v>0.99487499999999995</v>
      </c>
    </row>
    <row r="110" spans="1:7">
      <c r="A110" s="1" t="s">
        <v>35</v>
      </c>
      <c r="B110" s="1" t="s">
        <v>33</v>
      </c>
      <c r="C110" s="2" t="s">
        <v>4</v>
      </c>
      <c r="D110" s="4">
        <v>0.19967916666666699</v>
      </c>
      <c r="E110" s="1">
        <v>1E-3</v>
      </c>
      <c r="F110" s="4">
        <f t="shared" si="2"/>
        <v>0.19867916666666699</v>
      </c>
      <c r="G110" s="1">
        <f t="shared" si="3"/>
        <v>1.2214750000000019</v>
      </c>
    </row>
    <row r="111" spans="1:7">
      <c r="A111" s="1" t="s">
        <v>35</v>
      </c>
      <c r="B111" s="1" t="s">
        <v>33</v>
      </c>
      <c r="C111" s="2" t="s">
        <v>6</v>
      </c>
      <c r="D111" s="4">
        <v>0.20857916666666701</v>
      </c>
      <c r="E111" s="1">
        <v>1E-3</v>
      </c>
      <c r="F111" s="4">
        <f t="shared" si="2"/>
        <v>0.20757916666666701</v>
      </c>
      <c r="G111" s="1">
        <f t="shared" si="3"/>
        <v>1.274875000000002</v>
      </c>
    </row>
    <row r="112" spans="1:7">
      <c r="A112" s="1" t="s">
        <v>35</v>
      </c>
      <c r="B112" s="1" t="s">
        <v>33</v>
      </c>
      <c r="C112" s="2" t="s">
        <v>7</v>
      </c>
      <c r="D112" s="4">
        <v>0.17827916666666699</v>
      </c>
      <c r="E112" s="1">
        <v>1E-3</v>
      </c>
      <c r="F112" s="4">
        <f t="shared" si="2"/>
        <v>0.17727916666666699</v>
      </c>
      <c r="G112" s="1">
        <f t="shared" si="3"/>
        <v>1.093075000000002</v>
      </c>
    </row>
    <row r="113" spans="1:7">
      <c r="A113" s="1" t="s">
        <v>35</v>
      </c>
      <c r="B113" s="1" t="s">
        <v>33</v>
      </c>
      <c r="C113" s="2" t="s">
        <v>8</v>
      </c>
      <c r="D113" s="4">
        <v>0.20997916666666699</v>
      </c>
      <c r="E113" s="1">
        <v>1E-3</v>
      </c>
      <c r="F113" s="4">
        <f t="shared" si="2"/>
        <v>0.20897916666666699</v>
      </c>
      <c r="G113" s="1">
        <f t="shared" si="3"/>
        <v>1.2832750000000019</v>
      </c>
    </row>
    <row r="114" spans="1:7">
      <c r="A114" s="1" t="s">
        <v>35</v>
      </c>
      <c r="B114" s="1" t="s">
        <v>33</v>
      </c>
      <c r="C114" s="2" t="s">
        <v>10</v>
      </c>
      <c r="D114" s="4">
        <v>0.198579166666667</v>
      </c>
      <c r="E114" s="1">
        <v>1E-3</v>
      </c>
      <c r="F114" s="4">
        <f t="shared" si="2"/>
        <v>0.197579166666667</v>
      </c>
      <c r="G114" s="1">
        <f t="shared" si="3"/>
        <v>1.2148750000000019</v>
      </c>
    </row>
    <row r="115" spans="1:7">
      <c r="A115" s="1" t="s">
        <v>35</v>
      </c>
      <c r="B115" s="1" t="s">
        <v>33</v>
      </c>
      <c r="C115" s="2" t="s">
        <v>11</v>
      </c>
      <c r="D115" s="4">
        <v>0.223279166666667</v>
      </c>
      <c r="E115" s="1">
        <v>1E-3</v>
      </c>
      <c r="F115" s="4">
        <f t="shared" si="2"/>
        <v>0.222279166666667</v>
      </c>
      <c r="G115" s="1">
        <f t="shared" si="3"/>
        <v>1.363075000000002</v>
      </c>
    </row>
    <row r="116" spans="1:7">
      <c r="A116" s="1" t="s">
        <v>35</v>
      </c>
      <c r="B116" s="1" t="s">
        <v>33</v>
      </c>
      <c r="C116" s="2" t="s">
        <v>12</v>
      </c>
      <c r="D116" s="4">
        <v>0.177679166666667</v>
      </c>
      <c r="E116" s="1">
        <v>1E-3</v>
      </c>
      <c r="F116" s="4">
        <f t="shared" si="2"/>
        <v>0.176679166666667</v>
      </c>
      <c r="G116" s="1">
        <f t="shared" si="3"/>
        <v>1.0894750000000017</v>
      </c>
    </row>
    <row r="117" spans="1:7">
      <c r="A117" s="1" t="s">
        <v>35</v>
      </c>
      <c r="B117" s="1" t="s">
        <v>33</v>
      </c>
      <c r="C117" s="2" t="s">
        <v>14</v>
      </c>
      <c r="D117" s="4">
        <v>0.17297916666666699</v>
      </c>
      <c r="E117" s="1">
        <v>1E-3</v>
      </c>
      <c r="F117" s="4">
        <f t="shared" si="2"/>
        <v>0.17197916666666699</v>
      </c>
      <c r="G117" s="1">
        <f t="shared" si="3"/>
        <v>1.061275000000002</v>
      </c>
    </row>
    <row r="118" spans="1:7">
      <c r="A118" s="1" t="s">
        <v>35</v>
      </c>
      <c r="B118" s="1" t="s">
        <v>33</v>
      </c>
      <c r="C118" s="2" t="s">
        <v>15</v>
      </c>
      <c r="D118" s="4">
        <v>0.15807916666666699</v>
      </c>
      <c r="E118" s="1">
        <v>1E-3</v>
      </c>
      <c r="F118" s="4">
        <f t="shared" si="2"/>
        <v>0.15707916666666699</v>
      </c>
      <c r="G118" s="1">
        <f t="shared" si="3"/>
        <v>0.97187500000000193</v>
      </c>
    </row>
    <row r="119" spans="1:7">
      <c r="A119" s="1" t="s">
        <v>35</v>
      </c>
      <c r="B119" s="1" t="s">
        <v>33</v>
      </c>
      <c r="C119" s="2" t="s">
        <v>16</v>
      </c>
      <c r="D119" s="4">
        <v>0.25967916666666702</v>
      </c>
      <c r="E119" s="1">
        <v>1E-3</v>
      </c>
      <c r="F119" s="4">
        <f t="shared" si="2"/>
        <v>0.25867916666666702</v>
      </c>
      <c r="G119" s="1">
        <f t="shared" si="3"/>
        <v>1.5814750000000022</v>
      </c>
    </row>
    <row r="120" spans="1:7">
      <c r="A120" s="1" t="s">
        <v>35</v>
      </c>
      <c r="B120" s="1" t="s">
        <v>33</v>
      </c>
      <c r="C120" s="2" t="s">
        <v>18</v>
      </c>
      <c r="D120" s="4">
        <v>0.26577916666666701</v>
      </c>
      <c r="E120" s="1">
        <v>1E-3</v>
      </c>
      <c r="F120" s="4">
        <f t="shared" si="2"/>
        <v>0.26477916666666701</v>
      </c>
      <c r="G120" s="1">
        <f t="shared" si="3"/>
        <v>1.6180750000000022</v>
      </c>
    </row>
    <row r="121" spans="1:7">
      <c r="A121" s="1" t="s">
        <v>35</v>
      </c>
      <c r="B121" s="1" t="s">
        <v>33</v>
      </c>
      <c r="C121" s="2" t="s">
        <v>19</v>
      </c>
      <c r="D121" s="4">
        <v>0.17217916666666699</v>
      </c>
      <c r="E121" s="1">
        <v>1E-3</v>
      </c>
      <c r="F121" s="4">
        <f t="shared" si="2"/>
        <v>0.17117916666666699</v>
      </c>
      <c r="G121" s="1">
        <f t="shared" si="3"/>
        <v>1.0564750000000021</v>
      </c>
    </row>
    <row r="122" spans="1:7">
      <c r="A122" s="1" t="s">
        <v>35</v>
      </c>
      <c r="B122" s="1" t="s">
        <v>33</v>
      </c>
      <c r="C122" s="2" t="s">
        <v>20</v>
      </c>
      <c r="D122" s="4">
        <v>0.182679166666667</v>
      </c>
      <c r="E122" s="1">
        <v>1E-3</v>
      </c>
      <c r="F122" s="4">
        <f t="shared" si="2"/>
        <v>0.181679166666667</v>
      </c>
      <c r="G122" s="1">
        <f t="shared" si="3"/>
        <v>1.1194750000000018</v>
      </c>
    </row>
    <row r="123" spans="1:7">
      <c r="A123" s="1" t="s">
        <v>35</v>
      </c>
      <c r="B123" s="1" t="s">
        <v>33</v>
      </c>
      <c r="C123" s="2" t="s">
        <v>22</v>
      </c>
      <c r="D123" s="4">
        <v>0.187279166666667</v>
      </c>
      <c r="E123" s="1">
        <v>1E-3</v>
      </c>
      <c r="F123" s="4">
        <f t="shared" si="2"/>
        <v>0.186279166666667</v>
      </c>
      <c r="G123" s="1">
        <f t="shared" si="3"/>
        <v>1.1470750000000018</v>
      </c>
    </row>
    <row r="124" spans="1:7">
      <c r="A124" s="1" t="s">
        <v>35</v>
      </c>
      <c r="B124" s="1" t="s">
        <v>33</v>
      </c>
      <c r="C124" s="2" t="s">
        <v>23</v>
      </c>
      <c r="D124" s="4">
        <v>0.187779166666667</v>
      </c>
      <c r="E124" s="1">
        <v>1E-3</v>
      </c>
      <c r="F124" s="4">
        <f t="shared" si="2"/>
        <v>0.186779166666667</v>
      </c>
      <c r="G124" s="1">
        <f t="shared" si="3"/>
        <v>1.150075000000002</v>
      </c>
    </row>
    <row r="125" spans="1:7">
      <c r="A125" s="1" t="s">
        <v>35</v>
      </c>
      <c r="B125" s="1" t="s">
        <v>33</v>
      </c>
      <c r="C125" s="2" t="s">
        <v>24</v>
      </c>
      <c r="D125" s="4">
        <v>0.201879166666667</v>
      </c>
      <c r="E125" s="1">
        <v>1E-3</v>
      </c>
      <c r="F125" s="4">
        <f t="shared" si="2"/>
        <v>0.200879166666667</v>
      </c>
      <c r="G125" s="1">
        <f t="shared" si="3"/>
        <v>1.234675000000002</v>
      </c>
    </row>
    <row r="126" spans="1:7">
      <c r="A126" s="1" t="s">
        <v>35</v>
      </c>
      <c r="B126" s="1" t="s">
        <v>33</v>
      </c>
      <c r="C126" s="2" t="s">
        <v>26</v>
      </c>
      <c r="D126" s="4">
        <v>0.20327916666666701</v>
      </c>
      <c r="E126" s="1">
        <v>1E-3</v>
      </c>
      <c r="F126" s="4">
        <f t="shared" si="2"/>
        <v>0.20227916666666701</v>
      </c>
      <c r="G126" s="1">
        <f t="shared" si="3"/>
        <v>1.2430750000000022</v>
      </c>
    </row>
    <row r="127" spans="1:7">
      <c r="A127" s="1" t="s">
        <v>35</v>
      </c>
      <c r="B127" s="1" t="s">
        <v>33</v>
      </c>
      <c r="C127" s="2" t="s">
        <v>27</v>
      </c>
      <c r="D127" s="4">
        <v>0.18737916666666701</v>
      </c>
      <c r="E127" s="1">
        <v>1E-3</v>
      </c>
      <c r="F127" s="4">
        <f t="shared" si="2"/>
        <v>0.18637916666666701</v>
      </c>
      <c r="G127" s="1">
        <f t="shared" si="3"/>
        <v>1.147675000000002</v>
      </c>
    </row>
    <row r="128" spans="1:7">
      <c r="A128" s="1" t="s">
        <v>35</v>
      </c>
      <c r="B128" s="1" t="s">
        <v>34</v>
      </c>
      <c r="C128" s="2" t="s">
        <v>4</v>
      </c>
      <c r="D128" s="4">
        <v>0.19897916666666701</v>
      </c>
      <c r="E128" s="1">
        <v>1E-3</v>
      </c>
      <c r="F128" s="4">
        <f t="shared" si="2"/>
        <v>0.19797916666666701</v>
      </c>
      <c r="G128" s="1">
        <f t="shared" si="3"/>
        <v>1.2172750000000019</v>
      </c>
    </row>
    <row r="129" spans="1:7">
      <c r="A129" s="1" t="s">
        <v>35</v>
      </c>
      <c r="B129" s="1" t="s">
        <v>34</v>
      </c>
      <c r="C129" s="2" t="s">
        <v>6</v>
      </c>
      <c r="D129" s="4">
        <v>0.167379166666667</v>
      </c>
      <c r="E129" s="1">
        <v>1E-3</v>
      </c>
      <c r="F129" s="4">
        <f t="shared" si="2"/>
        <v>0.16637916666666699</v>
      </c>
      <c r="G129" s="1">
        <f t="shared" si="3"/>
        <v>1.0276750000000021</v>
      </c>
    </row>
    <row r="130" spans="1:7">
      <c r="A130" s="1" t="s">
        <v>35</v>
      </c>
      <c r="B130" s="1" t="s">
        <v>34</v>
      </c>
      <c r="C130" s="2" t="s">
        <v>7</v>
      </c>
      <c r="D130" s="4">
        <v>0.18817916666666701</v>
      </c>
      <c r="E130" s="1">
        <v>1E-3</v>
      </c>
      <c r="F130" s="4">
        <f t="shared" si="2"/>
        <v>0.18717916666666701</v>
      </c>
      <c r="G130" s="1">
        <f t="shared" si="3"/>
        <v>1.1524750000000021</v>
      </c>
    </row>
    <row r="131" spans="1:7">
      <c r="A131" s="1" t="s">
        <v>35</v>
      </c>
      <c r="B131" s="1" t="s">
        <v>34</v>
      </c>
      <c r="C131" s="2" t="s">
        <v>8</v>
      </c>
      <c r="D131" s="4">
        <v>0.18157916666666701</v>
      </c>
      <c r="E131" s="1">
        <v>1E-3</v>
      </c>
      <c r="F131" s="4">
        <f t="shared" ref="F131:F194" si="4">D131-E131</f>
        <v>0.18057916666666701</v>
      </c>
      <c r="G131" s="1">
        <f t="shared" ref="G131:G194" si="5">0.6*(F131+0.0049)*1.5/0.15</f>
        <v>1.1128750000000018</v>
      </c>
    </row>
    <row r="132" spans="1:7">
      <c r="A132" s="1" t="s">
        <v>35</v>
      </c>
      <c r="B132" s="1" t="s">
        <v>34</v>
      </c>
      <c r="C132" s="2" t="s">
        <v>10</v>
      </c>
      <c r="D132" s="4">
        <v>0.16497916666666701</v>
      </c>
      <c r="E132" s="1">
        <v>1E-3</v>
      </c>
      <c r="F132" s="4">
        <f t="shared" si="4"/>
        <v>0.16397916666666701</v>
      </c>
      <c r="G132" s="1">
        <f t="shared" si="5"/>
        <v>1.0132750000000021</v>
      </c>
    </row>
    <row r="133" spans="1:7">
      <c r="A133" s="1" t="s">
        <v>35</v>
      </c>
      <c r="B133" s="1" t="s">
        <v>34</v>
      </c>
      <c r="C133" s="2" t="s">
        <v>11</v>
      </c>
      <c r="D133" s="4">
        <v>0.16367916666666699</v>
      </c>
      <c r="E133" s="1">
        <v>1E-3</v>
      </c>
      <c r="F133" s="4">
        <f t="shared" si="4"/>
        <v>0.16267916666666699</v>
      </c>
      <c r="G133" s="1">
        <f t="shared" si="5"/>
        <v>1.0054750000000019</v>
      </c>
    </row>
    <row r="134" spans="1:7">
      <c r="A134" s="1" t="s">
        <v>35</v>
      </c>
      <c r="B134" s="1" t="s">
        <v>34</v>
      </c>
      <c r="C134" s="2" t="s">
        <v>12</v>
      </c>
      <c r="D134" s="4">
        <v>0.15907916666666699</v>
      </c>
      <c r="E134" s="1">
        <v>1E-3</v>
      </c>
      <c r="F134" s="4">
        <f t="shared" si="4"/>
        <v>0.15807916666666699</v>
      </c>
      <c r="G134" s="1">
        <f t="shared" si="5"/>
        <v>0.97787500000000183</v>
      </c>
    </row>
    <row r="135" spans="1:7">
      <c r="A135" s="1" t="s">
        <v>35</v>
      </c>
      <c r="B135" s="1" t="s">
        <v>34</v>
      </c>
      <c r="C135" s="2" t="s">
        <v>14</v>
      </c>
      <c r="D135" s="4">
        <v>0.16727916666666701</v>
      </c>
      <c r="E135" s="1">
        <v>1E-3</v>
      </c>
      <c r="F135" s="4">
        <f t="shared" si="4"/>
        <v>0.16627916666666701</v>
      </c>
      <c r="G135" s="1">
        <f t="shared" si="5"/>
        <v>1.027075000000002</v>
      </c>
    </row>
    <row r="136" spans="1:7">
      <c r="A136" s="1" t="s">
        <v>35</v>
      </c>
      <c r="B136" s="1" t="s">
        <v>34</v>
      </c>
      <c r="C136" s="2" t="s">
        <v>15</v>
      </c>
      <c r="D136" s="4">
        <v>0.16437916666666699</v>
      </c>
      <c r="E136" s="1">
        <v>1E-3</v>
      </c>
      <c r="F136" s="4">
        <f t="shared" si="4"/>
        <v>0.16337916666666699</v>
      </c>
      <c r="G136" s="1">
        <f t="shared" si="5"/>
        <v>1.0096750000000019</v>
      </c>
    </row>
    <row r="137" spans="1:7">
      <c r="A137" s="1" t="s">
        <v>35</v>
      </c>
      <c r="B137" s="1" t="s">
        <v>34</v>
      </c>
      <c r="C137" s="2" t="s">
        <v>16</v>
      </c>
      <c r="D137" s="4">
        <v>0.183179166666667</v>
      </c>
      <c r="E137" s="1">
        <v>1E-3</v>
      </c>
      <c r="F137" s="4">
        <f t="shared" si="4"/>
        <v>0.182179166666667</v>
      </c>
      <c r="G137" s="1">
        <f t="shared" si="5"/>
        <v>1.1224750000000021</v>
      </c>
    </row>
    <row r="138" spans="1:7">
      <c r="A138" s="1" t="s">
        <v>35</v>
      </c>
      <c r="B138" s="1" t="s">
        <v>34</v>
      </c>
      <c r="C138" s="2" t="s">
        <v>18</v>
      </c>
      <c r="D138" s="4">
        <v>0.20657916666666701</v>
      </c>
      <c r="E138" s="1">
        <v>1E-3</v>
      </c>
      <c r="F138" s="4">
        <f t="shared" si="4"/>
        <v>0.20557916666666701</v>
      </c>
      <c r="G138" s="1">
        <f t="shared" si="5"/>
        <v>1.262875000000002</v>
      </c>
    </row>
    <row r="139" spans="1:7">
      <c r="A139" s="1" t="s">
        <v>35</v>
      </c>
      <c r="B139" s="1" t="s">
        <v>34</v>
      </c>
      <c r="C139" s="2" t="s">
        <v>19</v>
      </c>
      <c r="D139" s="4">
        <v>0.15237916666666701</v>
      </c>
      <c r="E139" s="1">
        <v>1E-3</v>
      </c>
      <c r="F139" s="4">
        <f t="shared" si="4"/>
        <v>0.15137916666666701</v>
      </c>
      <c r="G139" s="1">
        <f t="shared" si="5"/>
        <v>0.93767500000000192</v>
      </c>
    </row>
    <row r="140" spans="1:7">
      <c r="A140" s="1" t="s">
        <v>35</v>
      </c>
      <c r="B140" s="1" t="s">
        <v>34</v>
      </c>
      <c r="C140" s="2" t="s">
        <v>20</v>
      </c>
      <c r="D140" s="4">
        <v>0.27477916666666702</v>
      </c>
      <c r="E140" s="1">
        <v>1E-3</v>
      </c>
      <c r="F140" s="4">
        <f t="shared" si="4"/>
        <v>0.27377916666666702</v>
      </c>
      <c r="G140" s="1">
        <f t="shared" si="5"/>
        <v>1.6720750000000022</v>
      </c>
    </row>
    <row r="141" spans="1:7">
      <c r="A141" s="1" t="s">
        <v>35</v>
      </c>
      <c r="B141" s="1" t="s">
        <v>34</v>
      </c>
      <c r="C141" s="2" t="s">
        <v>22</v>
      </c>
      <c r="D141" s="4">
        <v>0.169379166666667</v>
      </c>
      <c r="E141" s="1">
        <v>1E-3</v>
      </c>
      <c r="F141" s="4">
        <f t="shared" si="4"/>
        <v>0.168379166666667</v>
      </c>
      <c r="G141" s="1">
        <f t="shared" si="5"/>
        <v>1.0396750000000019</v>
      </c>
    </row>
    <row r="142" spans="1:7">
      <c r="A142" s="1" t="s">
        <v>35</v>
      </c>
      <c r="B142" s="1" t="s">
        <v>34</v>
      </c>
      <c r="C142" s="2" t="s">
        <v>23</v>
      </c>
      <c r="D142" s="4">
        <v>0.18257916666666699</v>
      </c>
      <c r="E142" s="1">
        <v>1E-3</v>
      </c>
      <c r="F142" s="4">
        <f t="shared" si="4"/>
        <v>0.18157916666666699</v>
      </c>
      <c r="G142" s="1">
        <f t="shared" si="5"/>
        <v>1.1188750000000018</v>
      </c>
    </row>
    <row r="143" spans="1:7">
      <c r="A143" s="1" t="s">
        <v>35</v>
      </c>
      <c r="B143" s="1" t="s">
        <v>34</v>
      </c>
      <c r="C143" s="2" t="s">
        <v>24</v>
      </c>
      <c r="D143" s="4">
        <v>0.225779166666667</v>
      </c>
      <c r="E143" s="1">
        <v>1E-3</v>
      </c>
      <c r="F143" s="4">
        <f t="shared" si="4"/>
        <v>0.224779166666667</v>
      </c>
      <c r="G143" s="1">
        <f t="shared" si="5"/>
        <v>1.3780750000000019</v>
      </c>
    </row>
    <row r="144" spans="1:7">
      <c r="A144" s="1" t="s">
        <v>35</v>
      </c>
      <c r="B144" s="1" t="s">
        <v>34</v>
      </c>
      <c r="C144" s="2" t="s">
        <v>26</v>
      </c>
      <c r="D144" s="4">
        <v>0.18787916666666701</v>
      </c>
      <c r="E144" s="1">
        <v>1E-3</v>
      </c>
      <c r="F144" s="4">
        <f t="shared" si="4"/>
        <v>0.18687916666666701</v>
      </c>
      <c r="G144" s="1">
        <f t="shared" si="5"/>
        <v>1.1506750000000019</v>
      </c>
    </row>
    <row r="145" spans="1:7">
      <c r="A145" s="1" t="s">
        <v>35</v>
      </c>
      <c r="B145" s="1" t="s">
        <v>34</v>
      </c>
      <c r="C145" s="2" t="s">
        <v>27</v>
      </c>
      <c r="D145" s="4">
        <v>0.17327916666666701</v>
      </c>
      <c r="E145" s="1">
        <v>1E-3</v>
      </c>
      <c r="F145" s="4">
        <f t="shared" si="4"/>
        <v>0.17227916666666701</v>
      </c>
      <c r="G145" s="1">
        <f t="shared" si="5"/>
        <v>1.063075000000002</v>
      </c>
    </row>
    <row r="146" spans="1:7">
      <c r="A146" s="1" t="s">
        <v>36</v>
      </c>
      <c r="B146" s="1" t="s">
        <v>37</v>
      </c>
      <c r="C146" s="2" t="s">
        <v>4</v>
      </c>
      <c r="D146" s="4">
        <v>0.30420000000000003</v>
      </c>
      <c r="E146" s="1">
        <v>1E-3</v>
      </c>
      <c r="F146" s="4">
        <f t="shared" si="4"/>
        <v>0.30320000000000003</v>
      </c>
      <c r="G146" s="1">
        <f t="shared" si="5"/>
        <v>1.8486000000000002</v>
      </c>
    </row>
    <row r="147" spans="1:7">
      <c r="A147" s="1" t="s">
        <v>36</v>
      </c>
      <c r="B147" s="1" t="s">
        <v>37</v>
      </c>
      <c r="C147" s="2" t="s">
        <v>6</v>
      </c>
      <c r="D147" s="4">
        <v>0.15720000000000001</v>
      </c>
      <c r="E147" s="1">
        <v>1E-3</v>
      </c>
      <c r="F147" s="4">
        <f t="shared" si="4"/>
        <v>0.15620000000000001</v>
      </c>
      <c r="G147" s="1">
        <f t="shared" si="5"/>
        <v>0.96660000000000013</v>
      </c>
    </row>
    <row r="148" spans="1:7">
      <c r="A148" s="1" t="s">
        <v>36</v>
      </c>
      <c r="B148" s="1" t="s">
        <v>37</v>
      </c>
      <c r="C148" s="2" t="s">
        <v>7</v>
      </c>
      <c r="D148" s="4">
        <v>0.21779999999999999</v>
      </c>
      <c r="E148" s="1">
        <v>1E-3</v>
      </c>
      <c r="F148" s="4">
        <f t="shared" si="4"/>
        <v>0.21679999999999999</v>
      </c>
      <c r="G148" s="1">
        <f t="shared" si="5"/>
        <v>1.3301999999999998</v>
      </c>
    </row>
    <row r="149" spans="1:7">
      <c r="A149" s="1" t="s">
        <v>36</v>
      </c>
      <c r="B149" s="1" t="s">
        <v>37</v>
      </c>
      <c r="C149" s="2" t="s">
        <v>8</v>
      </c>
      <c r="D149" s="4">
        <v>0.23180000000000001</v>
      </c>
      <c r="E149" s="1">
        <v>1E-3</v>
      </c>
      <c r="F149" s="4">
        <f t="shared" si="4"/>
        <v>0.23080000000000001</v>
      </c>
      <c r="G149" s="1">
        <f t="shared" si="5"/>
        <v>1.4141999999999999</v>
      </c>
    </row>
    <row r="150" spans="1:7">
      <c r="A150" s="1" t="s">
        <v>36</v>
      </c>
      <c r="B150" s="1" t="s">
        <v>37</v>
      </c>
      <c r="C150" s="2" t="s">
        <v>10</v>
      </c>
      <c r="D150" s="4">
        <v>0.28460000000000002</v>
      </c>
      <c r="E150" s="1">
        <v>1E-3</v>
      </c>
      <c r="F150" s="4">
        <f t="shared" si="4"/>
        <v>0.28360000000000002</v>
      </c>
      <c r="G150" s="1">
        <f t="shared" si="5"/>
        <v>1.7310000000000001</v>
      </c>
    </row>
    <row r="151" spans="1:7">
      <c r="A151" s="1" t="s">
        <v>36</v>
      </c>
      <c r="B151" s="1" t="s">
        <v>37</v>
      </c>
      <c r="C151" s="2" t="s">
        <v>11</v>
      </c>
      <c r="D151" s="4">
        <v>0.18770000000000001</v>
      </c>
      <c r="E151" s="1">
        <v>1E-3</v>
      </c>
      <c r="F151" s="4">
        <f t="shared" si="4"/>
        <v>0.1867</v>
      </c>
      <c r="G151" s="1">
        <f t="shared" si="5"/>
        <v>1.1496</v>
      </c>
    </row>
    <row r="152" spans="1:7">
      <c r="A152" s="1" t="s">
        <v>36</v>
      </c>
      <c r="B152" s="1" t="s">
        <v>37</v>
      </c>
      <c r="C152" s="2" t="s">
        <v>12</v>
      </c>
      <c r="D152" s="4">
        <v>0.20130000000000001</v>
      </c>
      <c r="E152" s="1">
        <v>1E-3</v>
      </c>
      <c r="F152" s="4">
        <f t="shared" si="4"/>
        <v>0.20030000000000001</v>
      </c>
      <c r="G152" s="1">
        <f t="shared" si="5"/>
        <v>1.2311999999999999</v>
      </c>
    </row>
    <row r="153" spans="1:7">
      <c r="A153" s="1" t="s">
        <v>36</v>
      </c>
      <c r="B153" s="1" t="s">
        <v>37</v>
      </c>
      <c r="C153" s="2" t="s">
        <v>14</v>
      </c>
      <c r="D153" s="4">
        <v>0.19470000000000001</v>
      </c>
      <c r="E153" s="1">
        <v>1E-3</v>
      </c>
      <c r="F153" s="4">
        <f t="shared" si="4"/>
        <v>0.19370000000000001</v>
      </c>
      <c r="G153" s="1">
        <f t="shared" si="5"/>
        <v>1.1916</v>
      </c>
    </row>
    <row r="154" spans="1:7">
      <c r="A154" s="1" t="s">
        <v>36</v>
      </c>
      <c r="B154" s="1" t="s">
        <v>37</v>
      </c>
      <c r="C154" s="2" t="s">
        <v>15</v>
      </c>
      <c r="D154" s="4">
        <v>0.246</v>
      </c>
      <c r="E154" s="1">
        <v>1E-3</v>
      </c>
      <c r="F154" s="4">
        <f t="shared" si="4"/>
        <v>0.245</v>
      </c>
      <c r="G154" s="1">
        <f t="shared" si="5"/>
        <v>1.4994000000000001</v>
      </c>
    </row>
    <row r="155" spans="1:7">
      <c r="A155" s="1" t="s">
        <v>36</v>
      </c>
      <c r="B155" s="1" t="s">
        <v>37</v>
      </c>
      <c r="C155" s="2" t="s">
        <v>16</v>
      </c>
      <c r="D155" s="4">
        <v>0.22209999999999999</v>
      </c>
      <c r="E155" s="1">
        <v>1E-3</v>
      </c>
      <c r="F155" s="4">
        <f t="shared" si="4"/>
        <v>0.22109999999999999</v>
      </c>
      <c r="G155" s="1">
        <f t="shared" si="5"/>
        <v>1.3559999999999999</v>
      </c>
    </row>
    <row r="156" spans="1:7">
      <c r="A156" s="1" t="s">
        <v>36</v>
      </c>
      <c r="B156" s="1" t="s">
        <v>37</v>
      </c>
      <c r="C156" s="2" t="s">
        <v>18</v>
      </c>
      <c r="D156" s="4">
        <v>0.1857</v>
      </c>
      <c r="E156" s="1">
        <v>1E-3</v>
      </c>
      <c r="F156" s="4">
        <f t="shared" si="4"/>
        <v>0.1847</v>
      </c>
      <c r="G156" s="1">
        <f t="shared" si="5"/>
        <v>1.1375999999999999</v>
      </c>
    </row>
    <row r="157" spans="1:7">
      <c r="A157" s="1" t="s">
        <v>36</v>
      </c>
      <c r="B157" s="1" t="s">
        <v>37</v>
      </c>
      <c r="C157" s="2" t="s">
        <v>19</v>
      </c>
      <c r="D157" s="4">
        <v>0.22209999999999999</v>
      </c>
      <c r="E157" s="1">
        <v>1E-3</v>
      </c>
      <c r="F157" s="4">
        <f t="shared" si="4"/>
        <v>0.22109999999999999</v>
      </c>
      <c r="G157" s="1">
        <f t="shared" si="5"/>
        <v>1.3559999999999999</v>
      </c>
    </row>
    <row r="158" spans="1:7">
      <c r="A158" s="1" t="s">
        <v>36</v>
      </c>
      <c r="B158" s="1" t="s">
        <v>37</v>
      </c>
      <c r="C158" s="2" t="s">
        <v>20</v>
      </c>
      <c r="D158" s="4">
        <v>0.19270000000000001</v>
      </c>
      <c r="E158" s="1">
        <v>1E-3</v>
      </c>
      <c r="F158" s="4">
        <f t="shared" si="4"/>
        <v>0.19170000000000001</v>
      </c>
      <c r="G158" s="1">
        <f t="shared" si="5"/>
        <v>1.1796</v>
      </c>
    </row>
    <row r="159" spans="1:7">
      <c r="A159" s="1" t="s">
        <v>36</v>
      </c>
      <c r="B159" s="1" t="s">
        <v>37</v>
      </c>
      <c r="C159" s="2" t="s">
        <v>22</v>
      </c>
      <c r="D159" s="4">
        <v>0.18160000000000001</v>
      </c>
      <c r="E159" s="1">
        <v>1E-3</v>
      </c>
      <c r="F159" s="4">
        <f t="shared" si="4"/>
        <v>0.18060000000000001</v>
      </c>
      <c r="G159" s="1">
        <f t="shared" si="5"/>
        <v>1.113</v>
      </c>
    </row>
    <row r="160" spans="1:7">
      <c r="A160" s="1" t="s">
        <v>36</v>
      </c>
      <c r="B160" s="1" t="s">
        <v>37</v>
      </c>
      <c r="C160" s="2" t="s">
        <v>23</v>
      </c>
      <c r="D160" s="4">
        <v>0.20019999999999999</v>
      </c>
      <c r="E160" s="1">
        <v>1E-3</v>
      </c>
      <c r="F160" s="4">
        <f t="shared" si="4"/>
        <v>0.19919999999999999</v>
      </c>
      <c r="G160" s="1">
        <f t="shared" si="5"/>
        <v>1.2245999999999999</v>
      </c>
    </row>
    <row r="161" spans="1:7">
      <c r="A161" s="1" t="s">
        <v>36</v>
      </c>
      <c r="B161" s="1" t="s">
        <v>37</v>
      </c>
      <c r="C161" s="2" t="s">
        <v>24</v>
      </c>
      <c r="D161" s="4">
        <v>0.17730000000000001</v>
      </c>
      <c r="E161" s="1">
        <v>1E-3</v>
      </c>
      <c r="F161" s="4">
        <f t="shared" si="4"/>
        <v>0.17630000000000001</v>
      </c>
      <c r="G161" s="1">
        <f t="shared" si="5"/>
        <v>1.0872000000000002</v>
      </c>
    </row>
    <row r="162" spans="1:7">
      <c r="A162" s="1" t="s">
        <v>36</v>
      </c>
      <c r="B162" s="1" t="s">
        <v>37</v>
      </c>
      <c r="C162" s="2" t="s">
        <v>26</v>
      </c>
      <c r="D162" s="4">
        <v>0.20830000000000001</v>
      </c>
      <c r="E162" s="1">
        <v>1E-3</v>
      </c>
      <c r="F162" s="4">
        <f t="shared" si="4"/>
        <v>0.20730000000000001</v>
      </c>
      <c r="G162" s="1">
        <f t="shared" si="5"/>
        <v>1.2731999999999999</v>
      </c>
    </row>
    <row r="163" spans="1:7">
      <c r="A163" s="1" t="s">
        <v>36</v>
      </c>
      <c r="B163" s="1" t="s">
        <v>37</v>
      </c>
      <c r="C163" s="2" t="s">
        <v>27</v>
      </c>
      <c r="D163" s="4">
        <v>0.1792</v>
      </c>
      <c r="E163" s="1">
        <v>1E-3</v>
      </c>
      <c r="F163" s="4">
        <f t="shared" si="4"/>
        <v>0.1782</v>
      </c>
      <c r="G163" s="1">
        <f t="shared" si="5"/>
        <v>1.0986</v>
      </c>
    </row>
    <row r="164" spans="1:7">
      <c r="A164" s="1" t="s">
        <v>36</v>
      </c>
      <c r="B164" s="1" t="s">
        <v>38</v>
      </c>
      <c r="C164" s="2" t="s">
        <v>4</v>
      </c>
      <c r="D164" s="4">
        <v>0.17560000000000001</v>
      </c>
      <c r="E164" s="1">
        <v>1E-3</v>
      </c>
      <c r="F164" s="4">
        <f t="shared" si="4"/>
        <v>0.17460000000000001</v>
      </c>
      <c r="G164" s="1">
        <f t="shared" si="5"/>
        <v>1.077</v>
      </c>
    </row>
    <row r="165" spans="1:7">
      <c r="A165" s="1" t="s">
        <v>36</v>
      </c>
      <c r="B165" s="1" t="s">
        <v>38</v>
      </c>
      <c r="C165" s="2" t="s">
        <v>6</v>
      </c>
      <c r="D165" s="4">
        <v>0.13689999999999999</v>
      </c>
      <c r="E165" s="1">
        <v>1E-3</v>
      </c>
      <c r="F165" s="4">
        <f t="shared" si="4"/>
        <v>0.13589999999999999</v>
      </c>
      <c r="G165" s="1">
        <f t="shared" si="5"/>
        <v>0.84479999999999988</v>
      </c>
    </row>
    <row r="166" spans="1:7">
      <c r="A166" s="1" t="s">
        <v>36</v>
      </c>
      <c r="B166" s="1" t="s">
        <v>38</v>
      </c>
      <c r="C166" s="2" t="s">
        <v>7</v>
      </c>
      <c r="D166" s="4">
        <v>0.1903</v>
      </c>
      <c r="E166" s="1">
        <v>1E-3</v>
      </c>
      <c r="F166" s="4">
        <f t="shared" si="4"/>
        <v>0.1893</v>
      </c>
      <c r="G166" s="1">
        <f t="shared" si="5"/>
        <v>1.1652</v>
      </c>
    </row>
    <row r="167" spans="1:7">
      <c r="A167" s="1" t="s">
        <v>36</v>
      </c>
      <c r="B167" s="1" t="s">
        <v>38</v>
      </c>
      <c r="C167" s="2" t="s">
        <v>8</v>
      </c>
      <c r="D167" s="4">
        <v>0.14760000000000001</v>
      </c>
      <c r="E167" s="1">
        <v>1E-3</v>
      </c>
      <c r="F167" s="4">
        <f t="shared" si="4"/>
        <v>0.14660000000000001</v>
      </c>
      <c r="G167" s="1">
        <f t="shared" si="5"/>
        <v>0.90900000000000003</v>
      </c>
    </row>
    <row r="168" spans="1:7">
      <c r="A168" s="1" t="s">
        <v>36</v>
      </c>
      <c r="B168" s="1" t="s">
        <v>38</v>
      </c>
      <c r="C168" s="2" t="s">
        <v>10</v>
      </c>
      <c r="D168" s="4">
        <v>0.20580000000000001</v>
      </c>
      <c r="E168" s="1">
        <v>1E-3</v>
      </c>
      <c r="F168" s="4">
        <f t="shared" si="4"/>
        <v>0.20480000000000001</v>
      </c>
      <c r="G168" s="1">
        <f t="shared" si="5"/>
        <v>1.2582</v>
      </c>
    </row>
    <row r="169" spans="1:7">
      <c r="A169" s="1" t="s">
        <v>36</v>
      </c>
      <c r="B169" s="1" t="s">
        <v>38</v>
      </c>
      <c r="C169" s="2" t="s">
        <v>11</v>
      </c>
      <c r="D169" s="4">
        <v>0.14269999999999999</v>
      </c>
      <c r="E169" s="1">
        <v>1E-3</v>
      </c>
      <c r="F169" s="4">
        <f t="shared" si="4"/>
        <v>0.14169999999999999</v>
      </c>
      <c r="G169" s="1">
        <f t="shared" si="5"/>
        <v>0.87959999999999983</v>
      </c>
    </row>
    <row r="170" spans="1:7">
      <c r="A170" s="1" t="s">
        <v>36</v>
      </c>
      <c r="B170" s="1" t="s">
        <v>38</v>
      </c>
      <c r="C170" s="2" t="s">
        <v>12</v>
      </c>
      <c r="D170" s="4">
        <v>0.1338</v>
      </c>
      <c r="E170" s="1">
        <v>1E-3</v>
      </c>
      <c r="F170" s="4">
        <f t="shared" si="4"/>
        <v>0.1328</v>
      </c>
      <c r="G170" s="1">
        <f t="shared" si="5"/>
        <v>0.82619999999999993</v>
      </c>
    </row>
    <row r="171" spans="1:7">
      <c r="A171" s="1" t="s">
        <v>36</v>
      </c>
      <c r="B171" s="1" t="s">
        <v>38</v>
      </c>
      <c r="C171" s="2" t="s">
        <v>14</v>
      </c>
      <c r="D171" s="4">
        <v>0.192</v>
      </c>
      <c r="E171" s="1">
        <v>1E-3</v>
      </c>
      <c r="F171" s="4">
        <f t="shared" si="4"/>
        <v>0.191</v>
      </c>
      <c r="G171" s="1">
        <f t="shared" si="5"/>
        <v>1.1754</v>
      </c>
    </row>
    <row r="172" spans="1:7">
      <c r="A172" s="1" t="s">
        <v>36</v>
      </c>
      <c r="B172" s="1" t="s">
        <v>38</v>
      </c>
      <c r="C172" s="2" t="s">
        <v>15</v>
      </c>
      <c r="D172" s="4">
        <v>0.22059999999999999</v>
      </c>
      <c r="E172" s="1">
        <v>1E-3</v>
      </c>
      <c r="F172" s="4">
        <f t="shared" si="4"/>
        <v>0.21959999999999999</v>
      </c>
      <c r="G172" s="1">
        <f t="shared" si="5"/>
        <v>1.347</v>
      </c>
    </row>
    <row r="173" spans="1:7">
      <c r="A173" s="1" t="s">
        <v>36</v>
      </c>
      <c r="B173" s="1" t="s">
        <v>38</v>
      </c>
      <c r="C173" s="2" t="s">
        <v>16</v>
      </c>
      <c r="D173" s="4">
        <v>0.2087</v>
      </c>
      <c r="E173" s="1">
        <v>1E-3</v>
      </c>
      <c r="F173" s="4">
        <f t="shared" si="4"/>
        <v>0.2077</v>
      </c>
      <c r="G173" s="1">
        <f t="shared" si="5"/>
        <v>1.2755999999999998</v>
      </c>
    </row>
    <row r="174" spans="1:7">
      <c r="A174" s="1" t="s">
        <v>36</v>
      </c>
      <c r="B174" s="1" t="s">
        <v>38</v>
      </c>
      <c r="C174" s="2" t="s">
        <v>18</v>
      </c>
      <c r="D174" s="4">
        <v>0.20619999999999999</v>
      </c>
      <c r="E174" s="1">
        <v>1E-3</v>
      </c>
      <c r="F174" s="4">
        <f t="shared" si="4"/>
        <v>0.20519999999999999</v>
      </c>
      <c r="G174" s="1">
        <f t="shared" si="5"/>
        <v>1.2605999999999999</v>
      </c>
    </row>
    <row r="175" spans="1:7">
      <c r="A175" s="1" t="s">
        <v>36</v>
      </c>
      <c r="B175" s="1" t="s">
        <v>38</v>
      </c>
      <c r="C175" s="2" t="s">
        <v>19</v>
      </c>
      <c r="D175" s="4">
        <v>0.1656</v>
      </c>
      <c r="E175" s="1">
        <v>1E-3</v>
      </c>
      <c r="F175" s="4">
        <f t="shared" si="4"/>
        <v>0.1646</v>
      </c>
      <c r="G175" s="1">
        <f t="shared" si="5"/>
        <v>1.0169999999999999</v>
      </c>
    </row>
    <row r="176" spans="1:7">
      <c r="A176" s="1" t="s">
        <v>36</v>
      </c>
      <c r="B176" s="1" t="s">
        <v>38</v>
      </c>
      <c r="C176" s="2" t="s">
        <v>20</v>
      </c>
      <c r="D176" s="4">
        <v>0.13450000000000001</v>
      </c>
      <c r="E176" s="1">
        <v>1E-3</v>
      </c>
      <c r="F176" s="4">
        <f t="shared" si="4"/>
        <v>0.13350000000000001</v>
      </c>
      <c r="G176" s="1">
        <f t="shared" si="5"/>
        <v>0.83039999999999992</v>
      </c>
    </row>
    <row r="177" spans="1:7">
      <c r="A177" s="1" t="s">
        <v>36</v>
      </c>
      <c r="B177" s="1" t="s">
        <v>38</v>
      </c>
      <c r="C177" s="2" t="s">
        <v>22</v>
      </c>
      <c r="D177" s="4">
        <v>0.2019</v>
      </c>
      <c r="E177" s="1">
        <v>1E-3</v>
      </c>
      <c r="F177" s="4">
        <f t="shared" si="4"/>
        <v>0.2009</v>
      </c>
      <c r="G177" s="1">
        <f t="shared" si="5"/>
        <v>1.2347999999999999</v>
      </c>
    </row>
    <row r="178" spans="1:7">
      <c r="A178" s="1" t="s">
        <v>36</v>
      </c>
      <c r="B178" s="1" t="s">
        <v>38</v>
      </c>
      <c r="C178" s="2" t="s">
        <v>23</v>
      </c>
      <c r="D178" s="4">
        <v>0.14729999999999999</v>
      </c>
      <c r="E178" s="1">
        <v>1E-3</v>
      </c>
      <c r="F178" s="4">
        <f t="shared" si="4"/>
        <v>0.14629999999999999</v>
      </c>
      <c r="G178" s="1">
        <f t="shared" si="5"/>
        <v>0.9071999999999999</v>
      </c>
    </row>
    <row r="179" spans="1:7">
      <c r="A179" s="1" t="s">
        <v>36</v>
      </c>
      <c r="B179" s="1" t="s">
        <v>38</v>
      </c>
      <c r="C179" s="2" t="s">
        <v>24</v>
      </c>
      <c r="D179" s="4">
        <v>0.16320000000000001</v>
      </c>
      <c r="E179" s="1">
        <v>1E-3</v>
      </c>
      <c r="F179" s="4">
        <f t="shared" si="4"/>
        <v>0.16220000000000001</v>
      </c>
      <c r="G179" s="1">
        <f t="shared" si="5"/>
        <v>1.0025999999999999</v>
      </c>
    </row>
    <row r="180" spans="1:7">
      <c r="A180" s="1" t="s">
        <v>36</v>
      </c>
      <c r="B180" s="1" t="s">
        <v>38</v>
      </c>
      <c r="C180" s="2" t="s">
        <v>26</v>
      </c>
      <c r="D180" s="4">
        <v>0.16950000000000001</v>
      </c>
      <c r="E180" s="1">
        <v>1E-3</v>
      </c>
      <c r="F180" s="4">
        <f t="shared" si="4"/>
        <v>0.16850000000000001</v>
      </c>
      <c r="G180" s="1">
        <f t="shared" si="5"/>
        <v>1.0404</v>
      </c>
    </row>
    <row r="181" spans="1:7">
      <c r="A181" s="1" t="s">
        <v>36</v>
      </c>
      <c r="B181" s="1" t="s">
        <v>38</v>
      </c>
      <c r="C181" s="2" t="s">
        <v>27</v>
      </c>
      <c r="D181" s="4">
        <v>0.21679999999999999</v>
      </c>
      <c r="E181" s="1">
        <v>1E-3</v>
      </c>
      <c r="F181" s="4">
        <f t="shared" si="4"/>
        <v>0.21579999999999999</v>
      </c>
      <c r="G181" s="1">
        <f t="shared" si="5"/>
        <v>1.3241999999999998</v>
      </c>
    </row>
    <row r="182" spans="1:7">
      <c r="A182" s="1" t="s">
        <v>36</v>
      </c>
      <c r="B182" s="1" t="s">
        <v>39</v>
      </c>
      <c r="C182" s="2" t="s">
        <v>4</v>
      </c>
      <c r="D182" s="4">
        <v>0.20598333333333299</v>
      </c>
      <c r="E182" s="1">
        <v>1E-3</v>
      </c>
      <c r="F182" s="4">
        <f t="shared" si="4"/>
        <v>0.20498333333333299</v>
      </c>
      <c r="G182" s="1">
        <f t="shared" si="5"/>
        <v>1.2592999999999981</v>
      </c>
    </row>
    <row r="183" spans="1:7">
      <c r="A183" s="1" t="s">
        <v>36</v>
      </c>
      <c r="B183" s="1" t="s">
        <v>39</v>
      </c>
      <c r="C183" s="2" t="s">
        <v>6</v>
      </c>
      <c r="D183" s="4">
        <v>0.220483333333333</v>
      </c>
      <c r="E183" s="1">
        <v>1E-3</v>
      </c>
      <c r="F183" s="4">
        <f t="shared" si="4"/>
        <v>0.219483333333333</v>
      </c>
      <c r="G183" s="1">
        <f t="shared" si="5"/>
        <v>1.3462999999999978</v>
      </c>
    </row>
    <row r="184" spans="1:7">
      <c r="A184" s="1" t="s">
        <v>36</v>
      </c>
      <c r="B184" s="1" t="s">
        <v>39</v>
      </c>
      <c r="C184" s="2" t="s">
        <v>7</v>
      </c>
      <c r="D184" s="4">
        <v>0.174683333333333</v>
      </c>
      <c r="E184" s="1">
        <v>1E-3</v>
      </c>
      <c r="F184" s="4">
        <f t="shared" si="4"/>
        <v>0.173683333333333</v>
      </c>
      <c r="G184" s="1">
        <f t="shared" si="5"/>
        <v>1.0714999999999979</v>
      </c>
    </row>
    <row r="185" spans="1:7">
      <c r="A185" s="1" t="s">
        <v>36</v>
      </c>
      <c r="B185" s="1" t="s">
        <v>39</v>
      </c>
      <c r="C185" s="2" t="s">
        <v>8</v>
      </c>
      <c r="D185" s="4">
        <v>0.23028333333333301</v>
      </c>
      <c r="E185" s="1">
        <v>1E-3</v>
      </c>
      <c r="F185" s="4">
        <f t="shared" si="4"/>
        <v>0.22928333333333301</v>
      </c>
      <c r="G185" s="1">
        <f t="shared" si="5"/>
        <v>1.405099999999998</v>
      </c>
    </row>
    <row r="186" spans="1:7">
      <c r="A186" s="1" t="s">
        <v>36</v>
      </c>
      <c r="B186" s="1" t="s">
        <v>39</v>
      </c>
      <c r="C186" s="2" t="s">
        <v>10</v>
      </c>
      <c r="D186" s="4">
        <v>0.283783333333333</v>
      </c>
      <c r="E186" s="1">
        <v>1E-3</v>
      </c>
      <c r="F186" s="4">
        <f t="shared" si="4"/>
        <v>0.282783333333333</v>
      </c>
      <c r="G186" s="1">
        <f t="shared" si="5"/>
        <v>1.726099999999998</v>
      </c>
    </row>
    <row r="187" spans="1:7">
      <c r="A187" s="1" t="s">
        <v>36</v>
      </c>
      <c r="B187" s="1" t="s">
        <v>39</v>
      </c>
      <c r="C187" s="2" t="s">
        <v>11</v>
      </c>
      <c r="D187" s="4">
        <v>0.223783333333333</v>
      </c>
      <c r="E187" s="1">
        <v>1E-3</v>
      </c>
      <c r="F187" s="4">
        <f t="shared" si="4"/>
        <v>0.222783333333333</v>
      </c>
      <c r="G187" s="1">
        <f t="shared" si="5"/>
        <v>1.3660999999999979</v>
      </c>
    </row>
    <row r="188" spans="1:7">
      <c r="A188" s="1" t="s">
        <v>36</v>
      </c>
      <c r="B188" s="1" t="s">
        <v>39</v>
      </c>
      <c r="C188" s="2" t="s">
        <v>12</v>
      </c>
      <c r="D188" s="4">
        <v>0.224583333333333</v>
      </c>
      <c r="E188" s="1">
        <v>1E-3</v>
      </c>
      <c r="F188" s="4">
        <f t="shared" si="4"/>
        <v>0.223583333333333</v>
      </c>
      <c r="G188" s="1">
        <f t="shared" si="5"/>
        <v>1.370899999999998</v>
      </c>
    </row>
    <row r="189" spans="1:7">
      <c r="A189" s="1" t="s">
        <v>36</v>
      </c>
      <c r="B189" s="1" t="s">
        <v>39</v>
      </c>
      <c r="C189" s="2" t="s">
        <v>14</v>
      </c>
      <c r="D189" s="4">
        <v>0.24258333333333301</v>
      </c>
      <c r="E189" s="1">
        <v>1E-3</v>
      </c>
      <c r="F189" s="4">
        <f t="shared" si="4"/>
        <v>0.24158333333333301</v>
      </c>
      <c r="G189" s="1">
        <f t="shared" si="5"/>
        <v>1.4788999999999981</v>
      </c>
    </row>
    <row r="190" spans="1:7">
      <c r="A190" s="1" t="s">
        <v>36</v>
      </c>
      <c r="B190" s="1" t="s">
        <v>39</v>
      </c>
      <c r="C190" s="2" t="s">
        <v>15</v>
      </c>
      <c r="D190" s="4">
        <v>0.17398333333333299</v>
      </c>
      <c r="E190" s="1">
        <v>1E-3</v>
      </c>
      <c r="F190" s="4">
        <f t="shared" si="4"/>
        <v>0.17298333333333299</v>
      </c>
      <c r="G190" s="1">
        <f t="shared" si="5"/>
        <v>1.0672999999999979</v>
      </c>
    </row>
    <row r="191" spans="1:7">
      <c r="A191" s="1" t="s">
        <v>36</v>
      </c>
      <c r="B191" s="1" t="s">
        <v>39</v>
      </c>
      <c r="C191" s="2" t="s">
        <v>16</v>
      </c>
      <c r="D191" s="4">
        <v>0.22498333333333301</v>
      </c>
      <c r="E191" s="1">
        <v>1E-3</v>
      </c>
      <c r="F191" s="4">
        <f t="shared" si="4"/>
        <v>0.22398333333333301</v>
      </c>
      <c r="G191" s="1">
        <f t="shared" si="5"/>
        <v>1.373299999999998</v>
      </c>
    </row>
    <row r="192" spans="1:7">
      <c r="A192" s="1" t="s">
        <v>36</v>
      </c>
      <c r="B192" s="1" t="s">
        <v>39</v>
      </c>
      <c r="C192" s="2" t="s">
        <v>18</v>
      </c>
      <c r="D192" s="4">
        <v>0.18658333333333299</v>
      </c>
      <c r="E192" s="1">
        <v>1E-3</v>
      </c>
      <c r="F192" s="4">
        <f t="shared" si="4"/>
        <v>0.18558333333333299</v>
      </c>
      <c r="G192" s="1">
        <f t="shared" si="5"/>
        <v>1.1428999999999978</v>
      </c>
    </row>
    <row r="193" spans="1:7">
      <c r="A193" s="1" t="s">
        <v>36</v>
      </c>
      <c r="B193" s="1" t="s">
        <v>39</v>
      </c>
      <c r="C193" s="2" t="s">
        <v>19</v>
      </c>
      <c r="D193" s="4">
        <v>0.195783333333333</v>
      </c>
      <c r="E193" s="1">
        <v>1E-3</v>
      </c>
      <c r="F193" s="4">
        <f t="shared" si="4"/>
        <v>0.194783333333333</v>
      </c>
      <c r="G193" s="1">
        <f t="shared" si="5"/>
        <v>1.1980999999999979</v>
      </c>
    </row>
    <row r="194" spans="1:7">
      <c r="A194" s="1" t="s">
        <v>36</v>
      </c>
      <c r="B194" s="1" t="s">
        <v>39</v>
      </c>
      <c r="C194" s="2" t="s">
        <v>20</v>
      </c>
      <c r="D194" s="4">
        <v>0.204883333333333</v>
      </c>
      <c r="E194" s="1">
        <v>1E-3</v>
      </c>
      <c r="F194" s="4">
        <f t="shared" si="4"/>
        <v>0.203883333333333</v>
      </c>
      <c r="G194" s="1">
        <f t="shared" si="5"/>
        <v>1.2526999999999981</v>
      </c>
    </row>
    <row r="195" spans="1:7">
      <c r="A195" s="1" t="s">
        <v>36</v>
      </c>
      <c r="B195" s="1" t="s">
        <v>39</v>
      </c>
      <c r="C195" s="2" t="s">
        <v>22</v>
      </c>
      <c r="D195" s="4">
        <v>0.17888333333333301</v>
      </c>
      <c r="E195" s="1">
        <v>1E-3</v>
      </c>
      <c r="F195" s="4">
        <f t="shared" ref="F195:F258" si="6">D195-E195</f>
        <v>0.177883333333333</v>
      </c>
      <c r="G195" s="1">
        <f t="shared" ref="G195:G258" si="7">0.6*(F195+0.0049)*1.5/0.15</f>
        <v>1.096699999999998</v>
      </c>
    </row>
    <row r="196" spans="1:7">
      <c r="A196" s="1" t="s">
        <v>36</v>
      </c>
      <c r="B196" s="1" t="s">
        <v>39</v>
      </c>
      <c r="C196" s="2" t="s">
        <v>23</v>
      </c>
      <c r="D196" s="4">
        <v>0.20628333333333301</v>
      </c>
      <c r="E196" s="1">
        <v>1E-3</v>
      </c>
      <c r="F196" s="4">
        <f t="shared" si="6"/>
        <v>0.20528333333333301</v>
      </c>
      <c r="G196" s="1">
        <f t="shared" si="7"/>
        <v>1.2610999999999981</v>
      </c>
    </row>
    <row r="197" spans="1:7">
      <c r="A197" s="1" t="s">
        <v>36</v>
      </c>
      <c r="B197" s="1" t="s">
        <v>39</v>
      </c>
      <c r="C197" s="2" t="s">
        <v>24</v>
      </c>
      <c r="D197" s="4">
        <v>0.27838333333333298</v>
      </c>
      <c r="E197" s="1">
        <v>1E-3</v>
      </c>
      <c r="F197" s="4">
        <f t="shared" si="6"/>
        <v>0.27738333333333298</v>
      </c>
      <c r="G197" s="1">
        <f t="shared" si="7"/>
        <v>1.693699999999998</v>
      </c>
    </row>
    <row r="198" spans="1:7">
      <c r="A198" s="1" t="s">
        <v>36</v>
      </c>
      <c r="B198" s="1" t="s">
        <v>39</v>
      </c>
      <c r="C198" s="2" t="s">
        <v>26</v>
      </c>
      <c r="D198" s="4">
        <v>0.25088333333333301</v>
      </c>
      <c r="E198" s="1">
        <v>1E-3</v>
      </c>
      <c r="F198" s="4">
        <f t="shared" si="6"/>
        <v>0.24988333333333301</v>
      </c>
      <c r="G198" s="1">
        <f t="shared" si="7"/>
        <v>1.5286999999999982</v>
      </c>
    </row>
    <row r="199" spans="1:7">
      <c r="A199" s="1" t="s">
        <v>36</v>
      </c>
      <c r="B199" s="1" t="s">
        <v>39</v>
      </c>
      <c r="C199" s="2" t="s">
        <v>27</v>
      </c>
      <c r="D199" s="4">
        <v>0.19518333333333299</v>
      </c>
      <c r="E199" s="1">
        <v>1E-3</v>
      </c>
      <c r="F199" s="4">
        <f t="shared" si="6"/>
        <v>0.19418333333333299</v>
      </c>
      <c r="G199" s="1">
        <f t="shared" si="7"/>
        <v>1.1944999999999979</v>
      </c>
    </row>
    <row r="200" spans="1:7">
      <c r="A200" s="1" t="s">
        <v>36</v>
      </c>
      <c r="B200" s="1" t="s">
        <v>40</v>
      </c>
      <c r="C200" s="2" t="s">
        <v>4</v>
      </c>
      <c r="D200" s="4">
        <v>0.17888333333333301</v>
      </c>
      <c r="E200" s="1">
        <v>1E-3</v>
      </c>
      <c r="F200" s="4">
        <f t="shared" si="6"/>
        <v>0.177883333333333</v>
      </c>
      <c r="G200" s="1">
        <f t="shared" si="7"/>
        <v>1.096699999999998</v>
      </c>
    </row>
    <row r="201" spans="1:7">
      <c r="A201" s="1" t="s">
        <v>36</v>
      </c>
      <c r="B201" s="1" t="s">
        <v>40</v>
      </c>
      <c r="C201" s="2" t="s">
        <v>6</v>
      </c>
      <c r="D201" s="4">
        <v>0.18108333333333301</v>
      </c>
      <c r="E201" s="1">
        <v>1E-3</v>
      </c>
      <c r="F201" s="4">
        <f t="shared" si="6"/>
        <v>0.18008333333333301</v>
      </c>
      <c r="G201" s="1">
        <f t="shared" si="7"/>
        <v>1.1098999999999979</v>
      </c>
    </row>
    <row r="202" spans="1:7">
      <c r="A202" s="1" t="s">
        <v>36</v>
      </c>
      <c r="B202" s="1" t="s">
        <v>40</v>
      </c>
      <c r="C202" s="2" t="s">
        <v>7</v>
      </c>
      <c r="D202" s="4">
        <v>0.17248333333333299</v>
      </c>
      <c r="E202" s="1">
        <v>1E-3</v>
      </c>
      <c r="F202" s="4">
        <f t="shared" si="6"/>
        <v>0.17148333333333299</v>
      </c>
      <c r="G202" s="1">
        <f t="shared" si="7"/>
        <v>1.058299999999998</v>
      </c>
    </row>
    <row r="203" spans="1:7">
      <c r="A203" s="1" t="s">
        <v>36</v>
      </c>
      <c r="B203" s="1" t="s">
        <v>40</v>
      </c>
      <c r="C203" s="2" t="s">
        <v>8</v>
      </c>
      <c r="D203" s="4">
        <v>0.12718333333333301</v>
      </c>
      <c r="E203" s="1">
        <v>1E-3</v>
      </c>
      <c r="F203" s="4">
        <f t="shared" si="6"/>
        <v>0.12618333333333301</v>
      </c>
      <c r="G203" s="1">
        <f t="shared" si="7"/>
        <v>0.78649999999999798</v>
      </c>
    </row>
    <row r="204" spans="1:7">
      <c r="A204" s="1" t="s">
        <v>36</v>
      </c>
      <c r="B204" s="1" t="s">
        <v>40</v>
      </c>
      <c r="C204" s="2" t="s">
        <v>10</v>
      </c>
      <c r="D204" s="4">
        <v>0.21538333333333301</v>
      </c>
      <c r="E204" s="1">
        <v>1E-3</v>
      </c>
      <c r="F204" s="4">
        <f t="shared" si="6"/>
        <v>0.21438333333333301</v>
      </c>
      <c r="G204" s="1">
        <f t="shared" si="7"/>
        <v>1.3156999999999981</v>
      </c>
    </row>
    <row r="205" spans="1:7">
      <c r="A205" s="1" t="s">
        <v>36</v>
      </c>
      <c r="B205" s="1" t="s">
        <v>40</v>
      </c>
      <c r="C205" s="2" t="s">
        <v>11</v>
      </c>
      <c r="D205" s="4">
        <v>0.16488333333333299</v>
      </c>
      <c r="E205" s="1">
        <v>1E-3</v>
      </c>
      <c r="F205" s="4">
        <f t="shared" si="6"/>
        <v>0.16388333333333299</v>
      </c>
      <c r="G205" s="1">
        <f t="shared" si="7"/>
        <v>1.0126999999999979</v>
      </c>
    </row>
    <row r="206" spans="1:7">
      <c r="A206" s="1" t="s">
        <v>36</v>
      </c>
      <c r="B206" s="1" t="s">
        <v>40</v>
      </c>
      <c r="C206" s="2" t="s">
        <v>12</v>
      </c>
      <c r="D206" s="4">
        <v>0.16978333333333301</v>
      </c>
      <c r="E206" s="1">
        <v>1E-3</v>
      </c>
      <c r="F206" s="4">
        <f t="shared" si="6"/>
        <v>0.16878333333333301</v>
      </c>
      <c r="G206" s="1">
        <f t="shared" si="7"/>
        <v>1.0420999999999978</v>
      </c>
    </row>
    <row r="207" spans="1:7">
      <c r="A207" s="1" t="s">
        <v>36</v>
      </c>
      <c r="B207" s="1" t="s">
        <v>40</v>
      </c>
      <c r="C207" s="2" t="s">
        <v>14</v>
      </c>
      <c r="D207" s="4">
        <v>0.161083333333333</v>
      </c>
      <c r="E207" s="1">
        <v>1E-3</v>
      </c>
      <c r="F207" s="4">
        <f t="shared" si="6"/>
        <v>0.16008333333333299</v>
      </c>
      <c r="G207" s="1">
        <f t="shared" si="7"/>
        <v>0.98989999999999789</v>
      </c>
    </row>
    <row r="208" spans="1:7">
      <c r="A208" s="1" t="s">
        <v>36</v>
      </c>
      <c r="B208" s="1" t="s">
        <v>40</v>
      </c>
      <c r="C208" s="2" t="s">
        <v>15</v>
      </c>
      <c r="D208" s="4">
        <v>0.15138333333333301</v>
      </c>
      <c r="E208" s="1">
        <v>1E-3</v>
      </c>
      <c r="F208" s="4">
        <f t="shared" si="6"/>
        <v>0.15038333333333301</v>
      </c>
      <c r="G208" s="1">
        <f t="shared" si="7"/>
        <v>0.93169999999999797</v>
      </c>
    </row>
    <row r="209" spans="1:7">
      <c r="A209" s="1" t="s">
        <v>36</v>
      </c>
      <c r="B209" s="1" t="s">
        <v>40</v>
      </c>
      <c r="C209" s="2" t="s">
        <v>16</v>
      </c>
      <c r="D209" s="4">
        <v>0.139883333333333</v>
      </c>
      <c r="E209" s="1">
        <v>1E-3</v>
      </c>
      <c r="F209" s="4">
        <f t="shared" si="6"/>
        <v>0.138883333333333</v>
      </c>
      <c r="G209" s="1">
        <f t="shared" si="7"/>
        <v>0.86269999999999791</v>
      </c>
    </row>
    <row r="210" spans="1:7">
      <c r="A210" s="1" t="s">
        <v>36</v>
      </c>
      <c r="B210" s="1" t="s">
        <v>40</v>
      </c>
      <c r="C210" s="2" t="s">
        <v>18</v>
      </c>
      <c r="D210" s="4">
        <v>0.222783333333333</v>
      </c>
      <c r="E210" s="1">
        <v>1E-3</v>
      </c>
      <c r="F210" s="4">
        <f t="shared" si="6"/>
        <v>0.221783333333333</v>
      </c>
      <c r="G210" s="1">
        <f t="shared" si="7"/>
        <v>1.3600999999999981</v>
      </c>
    </row>
    <row r="211" spans="1:7">
      <c r="A211" s="1" t="s">
        <v>36</v>
      </c>
      <c r="B211" s="1" t="s">
        <v>40</v>
      </c>
      <c r="C211" s="2" t="s">
        <v>19</v>
      </c>
      <c r="D211" s="4">
        <v>0.18818333333333301</v>
      </c>
      <c r="E211" s="1">
        <v>1E-3</v>
      </c>
      <c r="F211" s="4">
        <f t="shared" si="6"/>
        <v>0.18718333333333301</v>
      </c>
      <c r="G211" s="1">
        <f t="shared" si="7"/>
        <v>1.1524999999999981</v>
      </c>
    </row>
    <row r="212" spans="1:7">
      <c r="A212" s="1" t="s">
        <v>36</v>
      </c>
      <c r="B212" s="1" t="s">
        <v>40</v>
      </c>
      <c r="C212" s="2" t="s">
        <v>20</v>
      </c>
      <c r="D212" s="4">
        <v>0.20778333333333299</v>
      </c>
      <c r="E212" s="1">
        <v>1E-3</v>
      </c>
      <c r="F212" s="4">
        <f t="shared" si="6"/>
        <v>0.20678333333333299</v>
      </c>
      <c r="G212" s="1">
        <f t="shared" si="7"/>
        <v>1.270099999999998</v>
      </c>
    </row>
    <row r="213" spans="1:7">
      <c r="A213" s="1" t="s">
        <v>36</v>
      </c>
      <c r="B213" s="1" t="s">
        <v>40</v>
      </c>
      <c r="C213" s="2" t="s">
        <v>22</v>
      </c>
      <c r="D213" s="4">
        <v>0.174183333333333</v>
      </c>
      <c r="E213" s="1">
        <v>1E-3</v>
      </c>
      <c r="F213" s="4">
        <f t="shared" si="6"/>
        <v>0.17318333333333299</v>
      </c>
      <c r="G213" s="1">
        <f t="shared" si="7"/>
        <v>1.068499999999998</v>
      </c>
    </row>
    <row r="214" spans="1:7">
      <c r="A214" s="1" t="s">
        <v>36</v>
      </c>
      <c r="B214" s="1" t="s">
        <v>40</v>
      </c>
      <c r="C214" s="2" t="s">
        <v>23</v>
      </c>
      <c r="D214" s="4">
        <v>0.16038333333333299</v>
      </c>
      <c r="E214" s="1">
        <v>1E-3</v>
      </c>
      <c r="F214" s="4">
        <f t="shared" si="6"/>
        <v>0.15938333333333299</v>
      </c>
      <c r="G214" s="1">
        <f t="shared" si="7"/>
        <v>0.98569999999999791</v>
      </c>
    </row>
    <row r="215" spans="1:7">
      <c r="A215" s="1" t="s">
        <v>36</v>
      </c>
      <c r="B215" s="1" t="s">
        <v>40</v>
      </c>
      <c r="C215" s="2" t="s">
        <v>24</v>
      </c>
      <c r="D215" s="4">
        <v>0.19088333333333299</v>
      </c>
      <c r="E215" s="1">
        <v>1E-3</v>
      </c>
      <c r="F215" s="4">
        <f t="shared" si="6"/>
        <v>0.18988333333333299</v>
      </c>
      <c r="G215" s="1">
        <f t="shared" si="7"/>
        <v>1.1686999999999979</v>
      </c>
    </row>
    <row r="216" spans="1:7">
      <c r="A216" s="1" t="s">
        <v>36</v>
      </c>
      <c r="B216" s="1" t="s">
        <v>40</v>
      </c>
      <c r="C216" s="2" t="s">
        <v>26</v>
      </c>
      <c r="D216" s="4">
        <v>0.194783333333333</v>
      </c>
      <c r="E216" s="1">
        <v>1E-3</v>
      </c>
      <c r="F216" s="4">
        <f t="shared" si="6"/>
        <v>0.193783333333333</v>
      </c>
      <c r="G216" s="1">
        <f t="shared" si="7"/>
        <v>1.1920999999999979</v>
      </c>
    </row>
    <row r="217" spans="1:7">
      <c r="A217" s="1" t="s">
        <v>36</v>
      </c>
      <c r="B217" s="1" t="s">
        <v>40</v>
      </c>
      <c r="C217" s="2" t="s">
        <v>27</v>
      </c>
      <c r="D217" s="4">
        <v>0.19448333333333301</v>
      </c>
      <c r="E217" s="1">
        <v>1E-3</v>
      </c>
      <c r="F217" s="4">
        <f t="shared" si="6"/>
        <v>0.19348333333333301</v>
      </c>
      <c r="G217" s="1">
        <f t="shared" si="7"/>
        <v>1.1902999999999979</v>
      </c>
    </row>
    <row r="218" spans="1:7">
      <c r="A218" s="1" t="s">
        <v>36</v>
      </c>
      <c r="B218" s="1" t="s">
        <v>41</v>
      </c>
      <c r="C218" s="2" t="s">
        <v>4</v>
      </c>
      <c r="D218" s="4">
        <v>0.26451249999999998</v>
      </c>
      <c r="E218" s="1">
        <v>1E-3</v>
      </c>
      <c r="F218" s="4">
        <f t="shared" si="6"/>
        <v>0.26351249999999998</v>
      </c>
      <c r="G218" s="1">
        <f t="shared" si="7"/>
        <v>1.6104749999999999</v>
      </c>
    </row>
    <row r="219" spans="1:7">
      <c r="A219" s="1" t="s">
        <v>36</v>
      </c>
      <c r="B219" s="1" t="s">
        <v>41</v>
      </c>
      <c r="C219" s="2" t="s">
        <v>6</v>
      </c>
      <c r="D219" s="4">
        <v>0.2031125</v>
      </c>
      <c r="E219" s="1">
        <v>1E-3</v>
      </c>
      <c r="F219" s="4">
        <f t="shared" si="6"/>
        <v>0.2021125</v>
      </c>
      <c r="G219" s="1">
        <f t="shared" si="7"/>
        <v>1.242075</v>
      </c>
    </row>
    <row r="220" spans="1:7">
      <c r="A220" s="1" t="s">
        <v>36</v>
      </c>
      <c r="B220" s="1" t="s">
        <v>41</v>
      </c>
      <c r="C220" s="2" t="s">
        <v>7</v>
      </c>
      <c r="D220" s="4">
        <v>0.1822125</v>
      </c>
      <c r="E220" s="1">
        <v>1E-3</v>
      </c>
      <c r="F220" s="4">
        <f t="shared" si="6"/>
        <v>0.1812125</v>
      </c>
      <c r="G220" s="1">
        <f t="shared" si="7"/>
        <v>1.1166750000000001</v>
      </c>
    </row>
    <row r="221" spans="1:7">
      <c r="A221" s="1" t="s">
        <v>36</v>
      </c>
      <c r="B221" s="1" t="s">
        <v>41</v>
      </c>
      <c r="C221" s="2" t="s">
        <v>8</v>
      </c>
      <c r="D221" s="4">
        <v>0.27931250000000002</v>
      </c>
      <c r="E221" s="1">
        <v>1E-3</v>
      </c>
      <c r="F221" s="4">
        <f t="shared" si="6"/>
        <v>0.27831250000000002</v>
      </c>
      <c r="G221" s="1">
        <f t="shared" si="7"/>
        <v>1.6992750000000001</v>
      </c>
    </row>
    <row r="222" spans="1:7">
      <c r="A222" s="1" t="s">
        <v>36</v>
      </c>
      <c r="B222" s="1" t="s">
        <v>41</v>
      </c>
      <c r="C222" s="2" t="s">
        <v>10</v>
      </c>
      <c r="D222" s="4">
        <v>0.13841249999999999</v>
      </c>
      <c r="E222" s="1">
        <v>1E-3</v>
      </c>
      <c r="F222" s="4">
        <f t="shared" si="6"/>
        <v>0.13741249999999999</v>
      </c>
      <c r="G222" s="1">
        <f t="shared" si="7"/>
        <v>0.85387499999999994</v>
      </c>
    </row>
    <row r="223" spans="1:7">
      <c r="A223" s="1" t="s">
        <v>36</v>
      </c>
      <c r="B223" s="1" t="s">
        <v>41</v>
      </c>
      <c r="C223" s="2" t="s">
        <v>11</v>
      </c>
      <c r="D223" s="4">
        <v>0.2134125</v>
      </c>
      <c r="E223" s="1">
        <v>1E-3</v>
      </c>
      <c r="F223" s="4">
        <f t="shared" si="6"/>
        <v>0.2124125</v>
      </c>
      <c r="G223" s="1">
        <f t="shared" si="7"/>
        <v>1.3038749999999999</v>
      </c>
    </row>
    <row r="224" spans="1:7">
      <c r="A224" s="1" t="s">
        <v>36</v>
      </c>
      <c r="B224" s="1" t="s">
        <v>41</v>
      </c>
      <c r="C224" s="2" t="s">
        <v>12</v>
      </c>
      <c r="D224" s="4">
        <v>0.23881250000000001</v>
      </c>
      <c r="E224" s="1">
        <v>1E-3</v>
      </c>
      <c r="F224" s="4">
        <f t="shared" si="6"/>
        <v>0.23781250000000001</v>
      </c>
      <c r="G224" s="1">
        <f t="shared" si="7"/>
        <v>1.456275</v>
      </c>
    </row>
    <row r="225" spans="1:7">
      <c r="A225" s="1" t="s">
        <v>36</v>
      </c>
      <c r="B225" s="1" t="s">
        <v>41</v>
      </c>
      <c r="C225" s="2" t="s">
        <v>14</v>
      </c>
      <c r="D225" s="4">
        <v>0.26381250000000001</v>
      </c>
      <c r="E225" s="1">
        <v>1E-3</v>
      </c>
      <c r="F225" s="4">
        <f t="shared" si="6"/>
        <v>0.2628125</v>
      </c>
      <c r="G225" s="1">
        <f t="shared" si="7"/>
        <v>1.6062750000000001</v>
      </c>
    </row>
    <row r="226" spans="1:7">
      <c r="A226" s="1" t="s">
        <v>36</v>
      </c>
      <c r="B226" s="1" t="s">
        <v>41</v>
      </c>
      <c r="C226" s="2" t="s">
        <v>15</v>
      </c>
      <c r="D226" s="4">
        <v>0.18161250000000001</v>
      </c>
      <c r="E226" s="1">
        <v>1E-3</v>
      </c>
      <c r="F226" s="4">
        <f t="shared" si="6"/>
        <v>0.18061250000000001</v>
      </c>
      <c r="G226" s="1">
        <f t="shared" si="7"/>
        <v>1.1130749999999998</v>
      </c>
    </row>
    <row r="227" spans="1:7">
      <c r="A227" s="1" t="s">
        <v>36</v>
      </c>
      <c r="B227" s="1" t="s">
        <v>41</v>
      </c>
      <c r="C227" s="2" t="s">
        <v>16</v>
      </c>
      <c r="D227" s="4">
        <v>0.28661249999999999</v>
      </c>
      <c r="E227" s="1">
        <v>1E-3</v>
      </c>
      <c r="F227" s="4">
        <f t="shared" si="6"/>
        <v>0.28561249999999999</v>
      </c>
      <c r="G227" s="1">
        <f t="shared" si="7"/>
        <v>1.7430749999999999</v>
      </c>
    </row>
    <row r="228" spans="1:7">
      <c r="A228" s="1" t="s">
        <v>36</v>
      </c>
      <c r="B228" s="1" t="s">
        <v>41</v>
      </c>
      <c r="C228" s="2" t="s">
        <v>18</v>
      </c>
      <c r="D228" s="4">
        <v>0.20481250000000001</v>
      </c>
      <c r="E228" s="1">
        <v>1E-3</v>
      </c>
      <c r="F228" s="4">
        <f t="shared" si="6"/>
        <v>0.20381250000000001</v>
      </c>
      <c r="G228" s="1">
        <f t="shared" si="7"/>
        <v>1.252275</v>
      </c>
    </row>
    <row r="229" spans="1:7">
      <c r="A229" s="1" t="s">
        <v>36</v>
      </c>
      <c r="B229" s="1" t="s">
        <v>41</v>
      </c>
      <c r="C229" s="2" t="s">
        <v>19</v>
      </c>
      <c r="D229" s="4">
        <v>0.17571249999999999</v>
      </c>
      <c r="E229" s="1">
        <v>1E-3</v>
      </c>
      <c r="F229" s="4">
        <f t="shared" si="6"/>
        <v>0.17471249999999999</v>
      </c>
      <c r="G229" s="1">
        <f t="shared" si="7"/>
        <v>1.0776749999999999</v>
      </c>
    </row>
    <row r="230" spans="1:7">
      <c r="A230" s="1" t="s">
        <v>36</v>
      </c>
      <c r="B230" s="1" t="s">
        <v>41</v>
      </c>
      <c r="C230" s="2" t="s">
        <v>20</v>
      </c>
      <c r="D230" s="4">
        <v>0.16621250000000001</v>
      </c>
      <c r="E230" s="1">
        <v>1E-3</v>
      </c>
      <c r="F230" s="4">
        <f t="shared" si="6"/>
        <v>0.16521250000000001</v>
      </c>
      <c r="G230" s="1">
        <f t="shared" si="7"/>
        <v>1.020675</v>
      </c>
    </row>
    <row r="231" spans="1:7">
      <c r="A231" s="1" t="s">
        <v>36</v>
      </c>
      <c r="B231" s="1" t="s">
        <v>41</v>
      </c>
      <c r="C231" s="2" t="s">
        <v>22</v>
      </c>
      <c r="D231" s="4">
        <v>0.1968125</v>
      </c>
      <c r="E231" s="1">
        <v>1E-3</v>
      </c>
      <c r="F231" s="4">
        <f t="shared" si="6"/>
        <v>0.1958125</v>
      </c>
      <c r="G231" s="1">
        <f t="shared" si="7"/>
        <v>1.204275</v>
      </c>
    </row>
    <row r="232" spans="1:7">
      <c r="A232" s="1" t="s">
        <v>36</v>
      </c>
      <c r="B232" s="1" t="s">
        <v>41</v>
      </c>
      <c r="C232" s="2" t="s">
        <v>23</v>
      </c>
      <c r="D232" s="4">
        <v>0.17041249999999999</v>
      </c>
      <c r="E232" s="1">
        <v>1E-3</v>
      </c>
      <c r="F232" s="4">
        <f t="shared" si="6"/>
        <v>0.16941249999999999</v>
      </c>
      <c r="G232" s="1">
        <f t="shared" si="7"/>
        <v>1.0458749999999999</v>
      </c>
    </row>
    <row r="233" spans="1:7">
      <c r="A233" s="1" t="s">
        <v>36</v>
      </c>
      <c r="B233" s="1" t="s">
        <v>41</v>
      </c>
      <c r="C233" s="2" t="s">
        <v>24</v>
      </c>
      <c r="D233" s="4">
        <v>0.1716125</v>
      </c>
      <c r="E233" s="1">
        <v>1E-3</v>
      </c>
      <c r="F233" s="4">
        <f t="shared" si="6"/>
        <v>0.1706125</v>
      </c>
      <c r="G233" s="1">
        <f t="shared" si="7"/>
        <v>1.0530749999999998</v>
      </c>
    </row>
    <row r="234" spans="1:7">
      <c r="A234" s="1" t="s">
        <v>36</v>
      </c>
      <c r="B234" s="1" t="s">
        <v>41</v>
      </c>
      <c r="C234" s="2" t="s">
        <v>26</v>
      </c>
      <c r="D234" s="4">
        <v>0.19321250000000001</v>
      </c>
      <c r="E234" s="1">
        <v>1E-3</v>
      </c>
      <c r="F234" s="4">
        <f t="shared" si="6"/>
        <v>0.19221250000000001</v>
      </c>
      <c r="G234" s="1">
        <f t="shared" si="7"/>
        <v>1.1826750000000001</v>
      </c>
    </row>
    <row r="235" spans="1:7">
      <c r="A235" s="1" t="s">
        <v>36</v>
      </c>
      <c r="B235" s="1" t="s">
        <v>41</v>
      </c>
      <c r="C235" s="2" t="s">
        <v>27</v>
      </c>
      <c r="D235" s="4">
        <v>0.2044125</v>
      </c>
      <c r="E235" s="1">
        <v>1E-3</v>
      </c>
      <c r="F235" s="4">
        <f t="shared" si="6"/>
        <v>0.2034125</v>
      </c>
      <c r="G235" s="1">
        <f t="shared" si="7"/>
        <v>1.2498750000000001</v>
      </c>
    </row>
    <row r="236" spans="1:7">
      <c r="A236" s="1" t="s">
        <v>36</v>
      </c>
      <c r="B236" s="1" t="s">
        <v>42</v>
      </c>
      <c r="C236" s="2" t="s">
        <v>4</v>
      </c>
      <c r="D236" s="4">
        <v>0.2160125</v>
      </c>
      <c r="E236" s="1">
        <v>1E-3</v>
      </c>
      <c r="F236" s="4">
        <f t="shared" si="6"/>
        <v>0.2150125</v>
      </c>
      <c r="G236" s="1">
        <f t="shared" si="7"/>
        <v>1.319475</v>
      </c>
    </row>
    <row r="237" spans="1:7">
      <c r="A237" s="1" t="s">
        <v>36</v>
      </c>
      <c r="B237" s="1" t="s">
        <v>42</v>
      </c>
      <c r="C237" s="2" t="s">
        <v>6</v>
      </c>
      <c r="D237" s="4">
        <v>0.19901250000000001</v>
      </c>
      <c r="E237" s="1">
        <v>1E-3</v>
      </c>
      <c r="F237" s="4">
        <f t="shared" si="6"/>
        <v>0.19801250000000001</v>
      </c>
      <c r="G237" s="1">
        <f t="shared" si="7"/>
        <v>1.2174749999999999</v>
      </c>
    </row>
    <row r="238" spans="1:7">
      <c r="A238" s="1" t="s">
        <v>36</v>
      </c>
      <c r="B238" s="1" t="s">
        <v>42</v>
      </c>
      <c r="C238" s="2" t="s">
        <v>7</v>
      </c>
      <c r="D238" s="4">
        <v>0.27031250000000001</v>
      </c>
      <c r="E238" s="1">
        <v>1E-3</v>
      </c>
      <c r="F238" s="4">
        <f t="shared" si="6"/>
        <v>0.26931250000000001</v>
      </c>
      <c r="G238" s="1">
        <f t="shared" si="7"/>
        <v>1.6452750000000003</v>
      </c>
    </row>
    <row r="239" spans="1:7">
      <c r="A239" s="1" t="s">
        <v>36</v>
      </c>
      <c r="B239" s="1" t="s">
        <v>42</v>
      </c>
      <c r="C239" s="2" t="s">
        <v>8</v>
      </c>
      <c r="D239" s="4">
        <v>0.23001250000000001</v>
      </c>
      <c r="E239" s="1">
        <v>1E-3</v>
      </c>
      <c r="F239" s="4">
        <f t="shared" si="6"/>
        <v>0.22901250000000001</v>
      </c>
      <c r="G239" s="1">
        <f t="shared" si="7"/>
        <v>1.403475</v>
      </c>
    </row>
    <row r="240" spans="1:7">
      <c r="A240" s="1" t="s">
        <v>36</v>
      </c>
      <c r="B240" s="1" t="s">
        <v>42</v>
      </c>
      <c r="C240" s="2" t="s">
        <v>10</v>
      </c>
      <c r="D240" s="4">
        <v>0.19791249999999999</v>
      </c>
      <c r="E240" s="1">
        <v>1E-3</v>
      </c>
      <c r="F240" s="4">
        <f t="shared" si="6"/>
        <v>0.19691249999999999</v>
      </c>
      <c r="G240" s="1">
        <f t="shared" si="7"/>
        <v>1.2108749999999999</v>
      </c>
    </row>
    <row r="241" spans="1:7">
      <c r="A241" s="1" t="s">
        <v>36</v>
      </c>
      <c r="B241" s="1" t="s">
        <v>42</v>
      </c>
      <c r="C241" s="2" t="s">
        <v>11</v>
      </c>
      <c r="D241" s="4">
        <v>0.1721125</v>
      </c>
      <c r="E241" s="1">
        <v>1E-3</v>
      </c>
      <c r="F241" s="4">
        <f t="shared" si="6"/>
        <v>0.1711125</v>
      </c>
      <c r="G241" s="1">
        <f t="shared" si="7"/>
        <v>1.0560750000000001</v>
      </c>
    </row>
    <row r="242" spans="1:7">
      <c r="A242" s="1" t="s">
        <v>36</v>
      </c>
      <c r="B242" s="1" t="s">
        <v>42</v>
      </c>
      <c r="C242" s="2" t="s">
        <v>12</v>
      </c>
      <c r="D242" s="4">
        <v>0.2223125</v>
      </c>
      <c r="E242" s="1">
        <v>1E-3</v>
      </c>
      <c r="F242" s="4">
        <f t="shared" si="6"/>
        <v>0.2213125</v>
      </c>
      <c r="G242" s="1">
        <f t="shared" si="7"/>
        <v>1.3572749999999998</v>
      </c>
    </row>
    <row r="243" spans="1:7">
      <c r="A243" s="1" t="s">
        <v>36</v>
      </c>
      <c r="B243" s="1" t="s">
        <v>42</v>
      </c>
      <c r="C243" s="2" t="s">
        <v>14</v>
      </c>
      <c r="D243" s="4">
        <v>0.19991249999999999</v>
      </c>
      <c r="E243" s="1">
        <v>1E-3</v>
      </c>
      <c r="F243" s="4">
        <f t="shared" si="6"/>
        <v>0.19891249999999999</v>
      </c>
      <c r="G243" s="1">
        <f t="shared" si="7"/>
        <v>1.2228749999999997</v>
      </c>
    </row>
    <row r="244" spans="1:7">
      <c r="A244" s="1" t="s">
        <v>36</v>
      </c>
      <c r="B244" s="1" t="s">
        <v>42</v>
      </c>
      <c r="C244" s="2" t="s">
        <v>15</v>
      </c>
      <c r="D244" s="4">
        <v>0.22191250000000001</v>
      </c>
      <c r="E244" s="1">
        <v>1E-3</v>
      </c>
      <c r="F244" s="4">
        <f t="shared" si="6"/>
        <v>0.22091250000000001</v>
      </c>
      <c r="G244" s="1">
        <f t="shared" si="7"/>
        <v>1.3548749999999998</v>
      </c>
    </row>
    <row r="245" spans="1:7">
      <c r="A245" s="1" t="s">
        <v>36</v>
      </c>
      <c r="B245" s="1" t="s">
        <v>42</v>
      </c>
      <c r="C245" s="2" t="s">
        <v>16</v>
      </c>
      <c r="D245" s="4">
        <v>0.26411249999999997</v>
      </c>
      <c r="E245" s="1">
        <v>1E-3</v>
      </c>
      <c r="F245" s="4">
        <f t="shared" si="6"/>
        <v>0.26311249999999997</v>
      </c>
      <c r="G245" s="1">
        <f t="shared" si="7"/>
        <v>1.6080749999999999</v>
      </c>
    </row>
    <row r="246" spans="1:7">
      <c r="A246" s="1" t="s">
        <v>36</v>
      </c>
      <c r="B246" s="1" t="s">
        <v>42</v>
      </c>
      <c r="C246" s="2" t="s">
        <v>18</v>
      </c>
      <c r="D246" s="4">
        <v>0.24181250000000001</v>
      </c>
      <c r="E246" s="1">
        <v>1E-3</v>
      </c>
      <c r="F246" s="4">
        <f t="shared" si="6"/>
        <v>0.24081250000000001</v>
      </c>
      <c r="G246" s="1">
        <f t="shared" si="7"/>
        <v>1.474275</v>
      </c>
    </row>
    <row r="247" spans="1:7">
      <c r="A247" s="1" t="s">
        <v>36</v>
      </c>
      <c r="B247" s="1" t="s">
        <v>42</v>
      </c>
      <c r="C247" s="2" t="s">
        <v>19</v>
      </c>
      <c r="D247" s="4">
        <v>0.23881250000000001</v>
      </c>
      <c r="E247" s="1">
        <v>1E-3</v>
      </c>
      <c r="F247" s="4">
        <f t="shared" si="6"/>
        <v>0.23781250000000001</v>
      </c>
      <c r="G247" s="1">
        <f t="shared" si="7"/>
        <v>1.456275</v>
      </c>
    </row>
    <row r="248" spans="1:7">
      <c r="A248" s="1" t="s">
        <v>36</v>
      </c>
      <c r="B248" s="1" t="s">
        <v>42</v>
      </c>
      <c r="C248" s="2" t="s">
        <v>20</v>
      </c>
      <c r="D248" s="4">
        <v>0.2187125</v>
      </c>
      <c r="E248" s="1">
        <v>1E-3</v>
      </c>
      <c r="F248" s="4">
        <f t="shared" si="6"/>
        <v>0.2177125</v>
      </c>
      <c r="G248" s="1">
        <f t="shared" si="7"/>
        <v>1.3356749999999999</v>
      </c>
    </row>
    <row r="249" spans="1:7">
      <c r="A249" s="1" t="s">
        <v>36</v>
      </c>
      <c r="B249" s="1" t="s">
        <v>42</v>
      </c>
      <c r="C249" s="2" t="s">
        <v>22</v>
      </c>
      <c r="D249" s="4">
        <v>0.2230125</v>
      </c>
      <c r="E249" s="1">
        <v>1E-3</v>
      </c>
      <c r="F249" s="4">
        <f t="shared" si="6"/>
        <v>0.2220125</v>
      </c>
      <c r="G249" s="1">
        <f t="shared" si="7"/>
        <v>1.3614749999999998</v>
      </c>
    </row>
    <row r="250" spans="1:7">
      <c r="A250" s="1" t="s">
        <v>36</v>
      </c>
      <c r="B250" s="1" t="s">
        <v>42</v>
      </c>
      <c r="C250" s="2" t="s">
        <v>23</v>
      </c>
      <c r="D250" s="4">
        <v>0.2273125</v>
      </c>
      <c r="E250" s="1">
        <v>1E-3</v>
      </c>
      <c r="F250" s="4">
        <f t="shared" si="6"/>
        <v>0.2263125</v>
      </c>
      <c r="G250" s="1">
        <f t="shared" si="7"/>
        <v>1.3872749999999998</v>
      </c>
    </row>
    <row r="251" spans="1:7">
      <c r="A251" s="1" t="s">
        <v>36</v>
      </c>
      <c r="B251" s="1" t="s">
        <v>42</v>
      </c>
      <c r="C251" s="2" t="s">
        <v>24</v>
      </c>
      <c r="D251" s="4">
        <v>0.25201249999999997</v>
      </c>
      <c r="E251" s="1">
        <v>1E-3</v>
      </c>
      <c r="F251" s="4">
        <f t="shared" si="6"/>
        <v>0.25101249999999997</v>
      </c>
      <c r="G251" s="1">
        <f t="shared" si="7"/>
        <v>1.5354749999999999</v>
      </c>
    </row>
    <row r="252" spans="1:7">
      <c r="A252" s="1" t="s">
        <v>36</v>
      </c>
      <c r="B252" s="1" t="s">
        <v>42</v>
      </c>
      <c r="C252" s="2" t="s">
        <v>26</v>
      </c>
      <c r="D252" s="4">
        <v>0.2475125</v>
      </c>
      <c r="E252" s="1">
        <v>1E-3</v>
      </c>
      <c r="F252" s="4">
        <f t="shared" si="6"/>
        <v>0.2465125</v>
      </c>
      <c r="G252" s="1">
        <f t="shared" si="7"/>
        <v>1.508475</v>
      </c>
    </row>
    <row r="253" spans="1:7">
      <c r="A253" s="1" t="s">
        <v>36</v>
      </c>
      <c r="B253" s="1" t="s">
        <v>42</v>
      </c>
      <c r="C253" s="2" t="s">
        <v>27</v>
      </c>
      <c r="D253" s="4">
        <v>0.1978125</v>
      </c>
      <c r="E253" s="1">
        <v>1E-3</v>
      </c>
      <c r="F253" s="4">
        <f t="shared" si="6"/>
        <v>0.1968125</v>
      </c>
      <c r="G253" s="1">
        <f t="shared" si="7"/>
        <v>1.210275</v>
      </c>
    </row>
    <row r="254" spans="1:7">
      <c r="A254" s="1" t="s">
        <v>36</v>
      </c>
      <c r="B254" s="1" t="s">
        <v>43</v>
      </c>
      <c r="C254" s="2" t="s">
        <v>4</v>
      </c>
      <c r="D254" s="4">
        <v>0.30707916666666701</v>
      </c>
      <c r="E254" s="1">
        <v>1E-3</v>
      </c>
      <c r="F254" s="4">
        <f t="shared" si="6"/>
        <v>0.30607916666666701</v>
      </c>
      <c r="G254" s="1">
        <f t="shared" si="7"/>
        <v>1.8658750000000022</v>
      </c>
    </row>
    <row r="255" spans="1:7">
      <c r="A255" s="1" t="s">
        <v>36</v>
      </c>
      <c r="B255" s="1" t="s">
        <v>43</v>
      </c>
      <c r="C255" s="2" t="s">
        <v>6</v>
      </c>
      <c r="D255" s="4">
        <v>0.22667916666666699</v>
      </c>
      <c r="E255" s="1">
        <v>1E-3</v>
      </c>
      <c r="F255" s="4">
        <f t="shared" si="6"/>
        <v>0.22567916666666699</v>
      </c>
      <c r="G255" s="1">
        <f t="shared" si="7"/>
        <v>1.3834750000000018</v>
      </c>
    </row>
    <row r="256" spans="1:7">
      <c r="A256" s="1" t="s">
        <v>36</v>
      </c>
      <c r="B256" s="1" t="s">
        <v>43</v>
      </c>
      <c r="C256" s="2" t="s">
        <v>7</v>
      </c>
      <c r="D256" s="4">
        <v>0.23417916666666699</v>
      </c>
      <c r="E256" s="1">
        <v>1E-3</v>
      </c>
      <c r="F256" s="4">
        <f t="shared" si="6"/>
        <v>0.23317916666666699</v>
      </c>
      <c r="G256" s="1">
        <f t="shared" si="7"/>
        <v>1.4284750000000019</v>
      </c>
    </row>
    <row r="257" spans="1:7">
      <c r="A257" s="1" t="s">
        <v>36</v>
      </c>
      <c r="B257" s="1" t="s">
        <v>43</v>
      </c>
      <c r="C257" s="2" t="s">
        <v>8</v>
      </c>
      <c r="D257" s="4">
        <v>0.23347916666666699</v>
      </c>
      <c r="E257" s="1">
        <v>1E-3</v>
      </c>
      <c r="F257" s="4">
        <f t="shared" si="6"/>
        <v>0.23247916666666699</v>
      </c>
      <c r="G257" s="1">
        <f t="shared" si="7"/>
        <v>1.424275000000002</v>
      </c>
    </row>
    <row r="258" spans="1:7">
      <c r="A258" s="1" t="s">
        <v>36</v>
      </c>
      <c r="B258" s="1" t="s">
        <v>43</v>
      </c>
      <c r="C258" s="2" t="s">
        <v>10</v>
      </c>
      <c r="D258" s="4">
        <v>0.237179166666667</v>
      </c>
      <c r="E258" s="1">
        <v>1E-3</v>
      </c>
      <c r="F258" s="4">
        <f t="shared" si="6"/>
        <v>0.236179166666667</v>
      </c>
      <c r="G258" s="1">
        <f t="shared" si="7"/>
        <v>1.446475000000002</v>
      </c>
    </row>
    <row r="259" spans="1:7">
      <c r="A259" s="1" t="s">
        <v>36</v>
      </c>
      <c r="B259" s="1" t="s">
        <v>43</v>
      </c>
      <c r="C259" s="2" t="s">
        <v>11</v>
      </c>
      <c r="D259" s="4">
        <v>0.185479166666667</v>
      </c>
      <c r="E259" s="1">
        <v>1E-3</v>
      </c>
      <c r="F259" s="4">
        <f t="shared" ref="F259:F289" si="8">D259-E259</f>
        <v>0.184479166666667</v>
      </c>
      <c r="G259" s="1">
        <f t="shared" ref="G259:G289" si="9">0.6*(F259+0.0049)*1.5/0.15</f>
        <v>1.1362750000000019</v>
      </c>
    </row>
    <row r="260" spans="1:7">
      <c r="A260" s="1" t="s">
        <v>36</v>
      </c>
      <c r="B260" s="1" t="s">
        <v>43</v>
      </c>
      <c r="C260" s="2" t="s">
        <v>12</v>
      </c>
      <c r="D260" s="4">
        <v>0.21477916666666699</v>
      </c>
      <c r="E260" s="1">
        <v>1E-3</v>
      </c>
      <c r="F260" s="4">
        <f t="shared" si="8"/>
        <v>0.21377916666666699</v>
      </c>
      <c r="G260" s="1">
        <f t="shared" si="9"/>
        <v>1.3120750000000019</v>
      </c>
    </row>
    <row r="261" spans="1:7">
      <c r="A261" s="1" t="s">
        <v>36</v>
      </c>
      <c r="B261" s="1" t="s">
        <v>43</v>
      </c>
      <c r="C261" s="2" t="s">
        <v>14</v>
      </c>
      <c r="D261" s="4">
        <v>0.195779166666667</v>
      </c>
      <c r="E261" s="1">
        <v>1E-3</v>
      </c>
      <c r="F261" s="4">
        <f t="shared" si="8"/>
        <v>0.194779166666667</v>
      </c>
      <c r="G261" s="1">
        <f t="shared" si="9"/>
        <v>1.198075000000002</v>
      </c>
    </row>
    <row r="262" spans="1:7">
      <c r="A262" s="1" t="s">
        <v>36</v>
      </c>
      <c r="B262" s="1" t="s">
        <v>43</v>
      </c>
      <c r="C262" s="2" t="s">
        <v>15</v>
      </c>
      <c r="D262" s="4">
        <v>0.225079166666667</v>
      </c>
      <c r="E262" s="1">
        <v>1E-3</v>
      </c>
      <c r="F262" s="4">
        <f t="shared" si="8"/>
        <v>0.224079166666667</v>
      </c>
      <c r="G262" s="1">
        <f t="shared" si="9"/>
        <v>1.373875000000002</v>
      </c>
    </row>
    <row r="263" spans="1:7">
      <c r="A263" s="1" t="s">
        <v>36</v>
      </c>
      <c r="B263" s="1" t="s">
        <v>43</v>
      </c>
      <c r="C263" s="2" t="s">
        <v>16</v>
      </c>
      <c r="D263" s="4">
        <v>0.22087916666666699</v>
      </c>
      <c r="E263" s="1">
        <v>1E-3</v>
      </c>
      <c r="F263" s="4">
        <f t="shared" si="8"/>
        <v>0.21987916666666699</v>
      </c>
      <c r="G263" s="1">
        <f t="shared" si="9"/>
        <v>1.3486750000000018</v>
      </c>
    </row>
    <row r="264" spans="1:7">
      <c r="A264" s="1" t="s">
        <v>36</v>
      </c>
      <c r="B264" s="1" t="s">
        <v>43</v>
      </c>
      <c r="C264" s="2" t="s">
        <v>18</v>
      </c>
      <c r="D264" s="4">
        <v>0.209379166666667</v>
      </c>
      <c r="E264" s="1">
        <v>1E-3</v>
      </c>
      <c r="F264" s="4">
        <f t="shared" si="8"/>
        <v>0.208379166666667</v>
      </c>
      <c r="G264" s="1">
        <f t="shared" si="9"/>
        <v>1.2796750000000019</v>
      </c>
    </row>
    <row r="265" spans="1:7">
      <c r="A265" s="1" t="s">
        <v>36</v>
      </c>
      <c r="B265" s="1" t="s">
        <v>43</v>
      </c>
      <c r="C265" s="2" t="s">
        <v>19</v>
      </c>
      <c r="D265" s="4">
        <v>0.25797916666666698</v>
      </c>
      <c r="E265" s="1">
        <v>1E-3</v>
      </c>
      <c r="F265" s="4">
        <f t="shared" si="8"/>
        <v>0.25697916666666698</v>
      </c>
      <c r="G265" s="1">
        <f t="shared" si="9"/>
        <v>1.571275000000002</v>
      </c>
    </row>
    <row r="266" spans="1:7">
      <c r="A266" s="1" t="s">
        <v>36</v>
      </c>
      <c r="B266" s="1" t="s">
        <v>43</v>
      </c>
      <c r="C266" s="2" t="s">
        <v>20</v>
      </c>
      <c r="D266" s="4">
        <v>0.22257916666666699</v>
      </c>
      <c r="E266" s="1">
        <v>1E-3</v>
      </c>
      <c r="F266" s="4">
        <f t="shared" si="8"/>
        <v>0.22157916666666699</v>
      </c>
      <c r="G266" s="1">
        <f t="shared" si="9"/>
        <v>1.3588750000000021</v>
      </c>
    </row>
    <row r="267" spans="1:7">
      <c r="A267" s="1" t="s">
        <v>36</v>
      </c>
      <c r="B267" s="1" t="s">
        <v>43</v>
      </c>
      <c r="C267" s="2" t="s">
        <v>22</v>
      </c>
      <c r="D267" s="4">
        <v>0.236679166666667</v>
      </c>
      <c r="E267" s="1">
        <v>1E-3</v>
      </c>
      <c r="F267" s="4">
        <f t="shared" si="8"/>
        <v>0.23567916666666699</v>
      </c>
      <c r="G267" s="1">
        <f t="shared" si="9"/>
        <v>1.4434750000000018</v>
      </c>
    </row>
    <row r="268" spans="1:7">
      <c r="A268" s="1" t="s">
        <v>36</v>
      </c>
      <c r="B268" s="1" t="s">
        <v>43</v>
      </c>
      <c r="C268" s="2" t="s">
        <v>23</v>
      </c>
      <c r="D268" s="4">
        <v>0.239179166666667</v>
      </c>
      <c r="E268" s="1">
        <v>1E-3</v>
      </c>
      <c r="F268" s="4">
        <f t="shared" si="8"/>
        <v>0.238179166666667</v>
      </c>
      <c r="G268" s="1">
        <f t="shared" si="9"/>
        <v>1.458475000000002</v>
      </c>
    </row>
    <row r="269" spans="1:7">
      <c r="A269" s="1" t="s">
        <v>36</v>
      </c>
      <c r="B269" s="1" t="s">
        <v>43</v>
      </c>
      <c r="C269" s="2" t="s">
        <v>24</v>
      </c>
      <c r="D269" s="4">
        <v>0.21587916666666701</v>
      </c>
      <c r="E269" s="1">
        <v>1E-3</v>
      </c>
      <c r="F269" s="4">
        <f t="shared" si="8"/>
        <v>0.21487916666666701</v>
      </c>
      <c r="G269" s="1">
        <f t="shared" si="9"/>
        <v>1.318675000000002</v>
      </c>
    </row>
    <row r="270" spans="1:7">
      <c r="A270" s="1" t="s">
        <v>36</v>
      </c>
      <c r="B270" s="1" t="s">
        <v>43</v>
      </c>
      <c r="C270" s="2" t="s">
        <v>26</v>
      </c>
      <c r="D270" s="4">
        <v>0.31707916666666702</v>
      </c>
      <c r="E270" s="1">
        <v>1E-3</v>
      </c>
      <c r="F270" s="4">
        <f t="shared" si="8"/>
        <v>0.31607916666666702</v>
      </c>
      <c r="G270" s="1">
        <f t="shared" si="9"/>
        <v>1.9258750000000022</v>
      </c>
    </row>
    <row r="271" spans="1:7">
      <c r="A271" s="1" t="s">
        <v>36</v>
      </c>
      <c r="B271" s="1" t="s">
        <v>43</v>
      </c>
      <c r="C271" s="2" t="s">
        <v>27</v>
      </c>
      <c r="D271" s="4">
        <v>0.205179166666667</v>
      </c>
      <c r="E271" s="1">
        <v>1E-3</v>
      </c>
      <c r="F271" s="4">
        <f t="shared" si="8"/>
        <v>0.20417916666666699</v>
      </c>
      <c r="G271" s="1">
        <f t="shared" si="9"/>
        <v>1.254475000000002</v>
      </c>
    </row>
    <row r="272" spans="1:7">
      <c r="A272" s="1" t="s">
        <v>36</v>
      </c>
      <c r="B272" s="1" t="s">
        <v>44</v>
      </c>
      <c r="C272" s="2" t="s">
        <v>4</v>
      </c>
      <c r="D272" s="4">
        <v>0.16817916666666699</v>
      </c>
      <c r="E272" s="1">
        <v>1E-3</v>
      </c>
      <c r="F272" s="4">
        <f t="shared" si="8"/>
        <v>0.16717916666666699</v>
      </c>
      <c r="G272" s="1">
        <f t="shared" si="9"/>
        <v>1.032475000000002</v>
      </c>
    </row>
    <row r="273" spans="1:7">
      <c r="A273" s="1" t="s">
        <v>36</v>
      </c>
      <c r="B273" s="1" t="s">
        <v>44</v>
      </c>
      <c r="C273" s="2" t="s">
        <v>6</v>
      </c>
      <c r="D273" s="4">
        <v>0.18377916666666699</v>
      </c>
      <c r="E273" s="1">
        <v>1E-3</v>
      </c>
      <c r="F273" s="4">
        <f t="shared" si="8"/>
        <v>0.18277916666666699</v>
      </c>
      <c r="G273" s="1">
        <f t="shared" si="9"/>
        <v>1.1260750000000017</v>
      </c>
    </row>
    <row r="274" spans="1:7">
      <c r="A274" s="1" t="s">
        <v>36</v>
      </c>
      <c r="B274" s="1" t="s">
        <v>44</v>
      </c>
      <c r="C274" s="2" t="s">
        <v>7</v>
      </c>
      <c r="D274" s="4">
        <v>0.19597916666666701</v>
      </c>
      <c r="E274" s="1">
        <v>1E-3</v>
      </c>
      <c r="F274" s="4">
        <f t="shared" si="8"/>
        <v>0.19497916666666701</v>
      </c>
      <c r="G274" s="1">
        <f t="shared" si="9"/>
        <v>1.1992750000000019</v>
      </c>
    </row>
    <row r="275" spans="1:7">
      <c r="A275" s="1" t="s">
        <v>36</v>
      </c>
      <c r="B275" s="1" t="s">
        <v>44</v>
      </c>
      <c r="C275" s="2" t="s">
        <v>8</v>
      </c>
      <c r="D275" s="4">
        <v>0.157979166666667</v>
      </c>
      <c r="E275" s="1">
        <v>1E-3</v>
      </c>
      <c r="F275" s="4">
        <f t="shared" si="8"/>
        <v>0.156979166666667</v>
      </c>
      <c r="G275" s="1">
        <f t="shared" si="9"/>
        <v>0.97127500000000189</v>
      </c>
    </row>
    <row r="276" spans="1:7">
      <c r="A276" s="1" t="s">
        <v>36</v>
      </c>
      <c r="B276" s="1" t="s">
        <v>44</v>
      </c>
      <c r="C276" s="2" t="s">
        <v>10</v>
      </c>
      <c r="D276" s="4">
        <v>0.14507916666666701</v>
      </c>
      <c r="E276" s="1">
        <v>1E-3</v>
      </c>
      <c r="F276" s="4">
        <f t="shared" si="8"/>
        <v>0.14407916666666701</v>
      </c>
      <c r="G276" s="1">
        <f t="shared" si="9"/>
        <v>0.89387500000000197</v>
      </c>
    </row>
    <row r="277" spans="1:7">
      <c r="A277" s="1" t="s">
        <v>36</v>
      </c>
      <c r="B277" s="1" t="s">
        <v>44</v>
      </c>
      <c r="C277" s="2" t="s">
        <v>11</v>
      </c>
      <c r="D277" s="4">
        <v>0.214479166666667</v>
      </c>
      <c r="E277" s="1">
        <v>1E-3</v>
      </c>
      <c r="F277" s="4">
        <f t="shared" si="8"/>
        <v>0.213479166666667</v>
      </c>
      <c r="G277" s="1">
        <f t="shared" si="9"/>
        <v>1.3102750000000019</v>
      </c>
    </row>
    <row r="278" spans="1:7">
      <c r="A278" s="1" t="s">
        <v>36</v>
      </c>
      <c r="B278" s="1" t="s">
        <v>44</v>
      </c>
      <c r="C278" s="2" t="s">
        <v>12</v>
      </c>
      <c r="D278" s="4">
        <v>0.136879166666667</v>
      </c>
      <c r="E278" s="1">
        <v>1E-3</v>
      </c>
      <c r="F278" s="4">
        <f t="shared" si="8"/>
        <v>0.135879166666667</v>
      </c>
      <c r="G278" s="1">
        <f t="shared" si="9"/>
        <v>0.84467500000000184</v>
      </c>
    </row>
    <row r="279" spans="1:7">
      <c r="A279" s="1" t="s">
        <v>36</v>
      </c>
      <c r="B279" s="1" t="s">
        <v>44</v>
      </c>
      <c r="C279" s="2" t="s">
        <v>14</v>
      </c>
      <c r="D279" s="4">
        <v>0.15657916666666699</v>
      </c>
      <c r="E279" s="1">
        <v>1E-3</v>
      </c>
      <c r="F279" s="4">
        <f t="shared" si="8"/>
        <v>0.15557916666666699</v>
      </c>
      <c r="G279" s="1">
        <f t="shared" si="9"/>
        <v>0.96287500000000181</v>
      </c>
    </row>
    <row r="280" spans="1:7">
      <c r="A280" s="1" t="s">
        <v>36</v>
      </c>
      <c r="B280" s="1" t="s">
        <v>44</v>
      </c>
      <c r="C280" s="2" t="s">
        <v>15</v>
      </c>
      <c r="D280" s="4">
        <v>0.15337916666666701</v>
      </c>
      <c r="E280" s="1">
        <v>1E-3</v>
      </c>
      <c r="F280" s="4">
        <f t="shared" si="8"/>
        <v>0.15237916666666701</v>
      </c>
      <c r="G280" s="1">
        <f t="shared" si="9"/>
        <v>0.94367500000000204</v>
      </c>
    </row>
    <row r="281" spans="1:7">
      <c r="A281" s="1" t="s">
        <v>36</v>
      </c>
      <c r="B281" s="1" t="s">
        <v>44</v>
      </c>
      <c r="C281" s="2" t="s">
        <v>16</v>
      </c>
      <c r="D281" s="4">
        <v>0.16087916666666699</v>
      </c>
      <c r="E281" s="1">
        <v>1E-3</v>
      </c>
      <c r="F281" s="4">
        <f t="shared" si="8"/>
        <v>0.15987916666666699</v>
      </c>
      <c r="G281" s="1">
        <f t="shared" si="9"/>
        <v>0.98867500000000186</v>
      </c>
    </row>
    <row r="282" spans="1:7">
      <c r="A282" s="1" t="s">
        <v>36</v>
      </c>
      <c r="B282" s="1" t="s">
        <v>44</v>
      </c>
      <c r="C282" s="2" t="s">
        <v>18</v>
      </c>
      <c r="D282" s="4">
        <v>0.13827916666666701</v>
      </c>
      <c r="E282" s="1">
        <v>1E-3</v>
      </c>
      <c r="F282" s="4">
        <f t="shared" si="8"/>
        <v>0.13727916666666701</v>
      </c>
      <c r="G282" s="1">
        <f t="shared" si="9"/>
        <v>0.85307500000000192</v>
      </c>
    </row>
    <row r="283" spans="1:7">
      <c r="A283" s="1" t="s">
        <v>36</v>
      </c>
      <c r="B283" s="1" t="s">
        <v>44</v>
      </c>
      <c r="C283" s="2" t="s">
        <v>19</v>
      </c>
      <c r="D283" s="4">
        <v>0.17097916666666699</v>
      </c>
      <c r="E283" s="1">
        <v>1E-3</v>
      </c>
      <c r="F283" s="4">
        <f t="shared" si="8"/>
        <v>0.16997916666666699</v>
      </c>
      <c r="G283" s="1">
        <f t="shared" si="9"/>
        <v>1.049275000000002</v>
      </c>
    </row>
    <row r="284" spans="1:7">
      <c r="A284" s="1" t="s">
        <v>36</v>
      </c>
      <c r="B284" s="1" t="s">
        <v>44</v>
      </c>
      <c r="C284" s="2" t="s">
        <v>20</v>
      </c>
      <c r="D284" s="4">
        <v>0.17017916666666699</v>
      </c>
      <c r="E284" s="1">
        <v>1E-3</v>
      </c>
      <c r="F284" s="4">
        <f t="shared" si="8"/>
        <v>0.16917916666666699</v>
      </c>
      <c r="G284" s="1">
        <f t="shared" si="9"/>
        <v>1.0444750000000018</v>
      </c>
    </row>
    <row r="285" spans="1:7">
      <c r="A285" s="1" t="s">
        <v>36</v>
      </c>
      <c r="B285" s="1" t="s">
        <v>44</v>
      </c>
      <c r="C285" s="2" t="s">
        <v>22</v>
      </c>
      <c r="D285" s="4">
        <v>0.15077916666666699</v>
      </c>
      <c r="E285" s="1">
        <v>1E-3</v>
      </c>
      <c r="F285" s="4">
        <f t="shared" si="8"/>
        <v>0.14977916666666699</v>
      </c>
      <c r="G285" s="1">
        <f t="shared" si="9"/>
        <v>0.92807500000000198</v>
      </c>
    </row>
    <row r="286" spans="1:7">
      <c r="A286" s="1" t="s">
        <v>36</v>
      </c>
      <c r="B286" s="1" t="s">
        <v>44</v>
      </c>
      <c r="C286" s="2" t="s">
        <v>23</v>
      </c>
      <c r="D286" s="4">
        <v>0.176179166666667</v>
      </c>
      <c r="E286" s="1">
        <v>1E-3</v>
      </c>
      <c r="F286" s="4">
        <f t="shared" si="8"/>
        <v>0.175179166666667</v>
      </c>
      <c r="G286" s="1">
        <f t="shared" si="9"/>
        <v>1.0804750000000019</v>
      </c>
    </row>
    <row r="287" spans="1:7">
      <c r="A287" s="1" t="s">
        <v>36</v>
      </c>
      <c r="B287" s="1" t="s">
        <v>44</v>
      </c>
      <c r="C287" s="2" t="s">
        <v>24</v>
      </c>
      <c r="D287" s="4">
        <v>0.16747916666666701</v>
      </c>
      <c r="E287" s="1">
        <v>1E-3</v>
      </c>
      <c r="F287" s="4">
        <f t="shared" si="8"/>
        <v>0.16647916666666701</v>
      </c>
      <c r="G287" s="1">
        <f t="shared" si="9"/>
        <v>1.028275000000002</v>
      </c>
    </row>
    <row r="288" spans="1:7">
      <c r="A288" s="1" t="s">
        <v>36</v>
      </c>
      <c r="B288" s="1" t="s">
        <v>44</v>
      </c>
      <c r="C288" s="2" t="s">
        <v>26</v>
      </c>
      <c r="D288" s="4">
        <v>0.13867916666666699</v>
      </c>
      <c r="E288" s="1">
        <v>1E-3</v>
      </c>
      <c r="F288" s="4">
        <f t="shared" si="8"/>
        <v>0.13767916666666699</v>
      </c>
      <c r="G288" s="1">
        <f t="shared" si="9"/>
        <v>0.85547500000000187</v>
      </c>
    </row>
    <row r="289" spans="1:7">
      <c r="A289" s="1" t="s">
        <v>36</v>
      </c>
      <c r="B289" s="1" t="s">
        <v>44</v>
      </c>
      <c r="C289" s="2" t="s">
        <v>27</v>
      </c>
      <c r="D289" s="4">
        <v>0.16917916666666699</v>
      </c>
      <c r="E289" s="1">
        <v>1E-3</v>
      </c>
      <c r="F289" s="4">
        <f t="shared" si="8"/>
        <v>0.16817916666666699</v>
      </c>
      <c r="G289" s="1">
        <f t="shared" si="9"/>
        <v>1.0384750000000018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37A4-4C61-9D42-AFCF-D1DD284BF434}">
  <dimension ref="A1:H289"/>
  <sheetViews>
    <sheetView zoomScale="134" workbookViewId="0">
      <selection activeCell="G2" sqref="G2"/>
    </sheetView>
  </sheetViews>
  <sheetFormatPr baseColWidth="10" defaultRowHeight="16"/>
  <cols>
    <col min="1" max="3" width="10.83203125" style="1"/>
    <col min="4" max="4" width="10.83203125" style="5"/>
  </cols>
  <sheetData>
    <row r="1" spans="1:8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51</v>
      </c>
      <c r="H1" s="1" t="s">
        <v>71</v>
      </c>
    </row>
    <row r="2" spans="1:8">
      <c r="A2" s="1" t="s">
        <v>35</v>
      </c>
      <c r="B2" s="1" t="s">
        <v>28</v>
      </c>
      <c r="C2" s="1" t="s">
        <v>5</v>
      </c>
      <c r="D2" s="5">
        <v>0.48949583333333302</v>
      </c>
      <c r="E2">
        <v>1E-3</v>
      </c>
      <c r="F2" s="5">
        <f>D2-E2</f>
        <v>0.48849583333333302</v>
      </c>
      <c r="G2">
        <f>0.6*(F2+0.0049)*1.5/0.03</f>
        <v>14.80187499999999</v>
      </c>
    </row>
    <row r="3" spans="1:8">
      <c r="A3" s="1" t="s">
        <v>35</v>
      </c>
      <c r="B3" s="1" t="s">
        <v>28</v>
      </c>
      <c r="C3" s="1" t="s">
        <v>6</v>
      </c>
      <c r="D3" s="5">
        <v>0.54929583333333298</v>
      </c>
      <c r="E3">
        <v>1E-3</v>
      </c>
      <c r="F3" s="5">
        <f t="shared" ref="F3:F66" si="0">D3-E3</f>
        <v>0.54829583333333298</v>
      </c>
      <c r="G3">
        <f t="shared" ref="G3:G66" si="1">0.6*(F3+0.0049)*1.5/0.03</f>
        <v>16.595874999999989</v>
      </c>
    </row>
    <row r="4" spans="1:8">
      <c r="A4" s="1" t="s">
        <v>35</v>
      </c>
      <c r="B4" s="1" t="s">
        <v>28</v>
      </c>
      <c r="C4" s="1" t="s">
        <v>7</v>
      </c>
      <c r="D4" s="5">
        <v>0.38959583333333297</v>
      </c>
      <c r="E4">
        <v>1E-3</v>
      </c>
      <c r="F4" s="5">
        <f t="shared" si="0"/>
        <v>0.38859583333333297</v>
      </c>
      <c r="G4">
        <f t="shared" si="1"/>
        <v>11.804874999999988</v>
      </c>
    </row>
    <row r="5" spans="1:8">
      <c r="A5" s="1" t="s">
        <v>35</v>
      </c>
      <c r="B5" s="1" t="s">
        <v>28</v>
      </c>
      <c r="C5" s="1" t="s">
        <v>9</v>
      </c>
      <c r="D5" s="5">
        <v>0.47879583333333298</v>
      </c>
      <c r="E5">
        <v>1E-3</v>
      </c>
      <c r="F5" s="5">
        <f t="shared" si="0"/>
        <v>0.47779583333333298</v>
      </c>
      <c r="G5">
        <f t="shared" si="1"/>
        <v>14.48087499999999</v>
      </c>
    </row>
    <row r="6" spans="1:8">
      <c r="A6" s="1" t="s">
        <v>35</v>
      </c>
      <c r="B6" s="1" t="s">
        <v>28</v>
      </c>
      <c r="C6" s="1" t="s">
        <v>10</v>
      </c>
      <c r="D6" s="5">
        <v>0.34779583333333303</v>
      </c>
      <c r="E6">
        <v>1E-3</v>
      </c>
      <c r="F6" s="5">
        <f t="shared" si="0"/>
        <v>0.34679583333333303</v>
      </c>
      <c r="G6">
        <f t="shared" si="1"/>
        <v>10.550874999999991</v>
      </c>
    </row>
    <row r="7" spans="1:8">
      <c r="A7" s="1" t="s">
        <v>35</v>
      </c>
      <c r="B7" s="1" t="s">
        <v>28</v>
      </c>
      <c r="C7" s="1" t="s">
        <v>11</v>
      </c>
      <c r="D7" s="5">
        <v>0.41209583333333299</v>
      </c>
      <c r="E7">
        <v>1E-3</v>
      </c>
      <c r="F7" s="5">
        <f t="shared" si="0"/>
        <v>0.41109583333333299</v>
      </c>
      <c r="G7">
        <f t="shared" si="1"/>
        <v>12.479874999999991</v>
      </c>
    </row>
    <row r="8" spans="1:8">
      <c r="A8" s="1" t="s">
        <v>35</v>
      </c>
      <c r="B8" s="1" t="s">
        <v>28</v>
      </c>
      <c r="C8" s="1" t="s">
        <v>13</v>
      </c>
      <c r="D8" s="5">
        <v>0.43049583333333302</v>
      </c>
      <c r="E8">
        <v>1E-3</v>
      </c>
      <c r="F8" s="5">
        <f t="shared" si="0"/>
        <v>0.42949583333333302</v>
      </c>
      <c r="G8">
        <f t="shared" si="1"/>
        <v>13.031874999999989</v>
      </c>
    </row>
    <row r="9" spans="1:8">
      <c r="A9" s="1" t="s">
        <v>35</v>
      </c>
      <c r="B9" s="1" t="s">
        <v>28</v>
      </c>
      <c r="C9" s="1" t="s">
        <v>14</v>
      </c>
      <c r="D9" s="5">
        <v>0.38049583333333298</v>
      </c>
      <c r="E9">
        <v>1E-3</v>
      </c>
      <c r="F9" s="5">
        <f t="shared" si="0"/>
        <v>0.37949583333333298</v>
      </c>
      <c r="G9">
        <f t="shared" si="1"/>
        <v>11.531874999999989</v>
      </c>
    </row>
    <row r="10" spans="1:8">
      <c r="A10" s="1" t="s">
        <v>35</v>
      </c>
      <c r="B10" s="1" t="s">
        <v>28</v>
      </c>
      <c r="C10" s="1" t="s">
        <v>15</v>
      </c>
      <c r="D10" s="5">
        <v>0.36659583333333301</v>
      </c>
      <c r="E10">
        <v>1E-3</v>
      </c>
      <c r="F10" s="5">
        <f t="shared" si="0"/>
        <v>0.36559583333333301</v>
      </c>
      <c r="G10">
        <f t="shared" si="1"/>
        <v>11.114874999999991</v>
      </c>
    </row>
    <row r="11" spans="1:8">
      <c r="A11" s="1" t="s">
        <v>35</v>
      </c>
      <c r="B11" s="1" t="s">
        <v>28</v>
      </c>
      <c r="C11" s="1" t="s">
        <v>17</v>
      </c>
      <c r="D11" s="5">
        <v>0.40959583333333299</v>
      </c>
      <c r="E11">
        <v>1E-3</v>
      </c>
      <c r="F11" s="5">
        <f t="shared" si="0"/>
        <v>0.40859583333333299</v>
      </c>
      <c r="G11">
        <f t="shared" si="1"/>
        <v>12.40487499999999</v>
      </c>
    </row>
    <row r="12" spans="1:8">
      <c r="A12" s="1" t="s">
        <v>35</v>
      </c>
      <c r="B12" s="1" t="s">
        <v>28</v>
      </c>
      <c r="C12" s="1" t="s">
        <v>18</v>
      </c>
      <c r="D12" s="5">
        <v>0.428695833333333</v>
      </c>
      <c r="E12">
        <v>1E-3</v>
      </c>
      <c r="F12" s="5">
        <f t="shared" si="0"/>
        <v>0.427695833333333</v>
      </c>
      <c r="G12">
        <f t="shared" si="1"/>
        <v>12.977874999999989</v>
      </c>
    </row>
    <row r="13" spans="1:8">
      <c r="A13" s="1" t="s">
        <v>35</v>
      </c>
      <c r="B13" s="1" t="s">
        <v>28</v>
      </c>
      <c r="C13" s="1" t="s">
        <v>19</v>
      </c>
      <c r="D13" s="5">
        <v>0.36899583333333302</v>
      </c>
      <c r="E13">
        <v>1E-3</v>
      </c>
      <c r="F13" s="5">
        <f t="shared" si="0"/>
        <v>0.36799583333333302</v>
      </c>
      <c r="G13">
        <f t="shared" si="1"/>
        <v>11.186874999999992</v>
      </c>
    </row>
    <row r="14" spans="1:8">
      <c r="A14" s="1" t="s">
        <v>35</v>
      </c>
      <c r="B14" s="1" t="s">
        <v>28</v>
      </c>
      <c r="C14" s="1" t="s">
        <v>21</v>
      </c>
      <c r="D14" s="5">
        <v>0.48719583333333299</v>
      </c>
      <c r="E14">
        <v>1E-3</v>
      </c>
      <c r="F14" s="5">
        <f t="shared" si="0"/>
        <v>0.48619583333333299</v>
      </c>
      <c r="G14">
        <f t="shared" si="1"/>
        <v>14.732874999999991</v>
      </c>
    </row>
    <row r="15" spans="1:8">
      <c r="A15" s="1" t="s">
        <v>35</v>
      </c>
      <c r="B15" s="1" t="s">
        <v>28</v>
      </c>
      <c r="C15" s="1" t="s">
        <v>22</v>
      </c>
      <c r="D15" s="5">
        <v>0.48519583333333299</v>
      </c>
      <c r="E15">
        <v>1E-3</v>
      </c>
      <c r="F15" s="5">
        <f t="shared" si="0"/>
        <v>0.48419583333333299</v>
      </c>
      <c r="G15">
        <f t="shared" si="1"/>
        <v>14.672874999999991</v>
      </c>
    </row>
    <row r="16" spans="1:8">
      <c r="A16" s="1" t="s">
        <v>35</v>
      </c>
      <c r="B16" s="1" t="s">
        <v>28</v>
      </c>
      <c r="C16" s="1" t="s">
        <v>23</v>
      </c>
      <c r="D16" s="5">
        <v>0.54669583333333305</v>
      </c>
      <c r="E16">
        <v>1E-3</v>
      </c>
      <c r="F16" s="5">
        <f t="shared" si="0"/>
        <v>0.54569583333333305</v>
      </c>
      <c r="G16">
        <f t="shared" si="1"/>
        <v>16.517874999999989</v>
      </c>
    </row>
    <row r="17" spans="1:7">
      <c r="A17" s="1" t="s">
        <v>35</v>
      </c>
      <c r="B17" s="1" t="s">
        <v>28</v>
      </c>
      <c r="C17" s="1" t="s">
        <v>25</v>
      </c>
      <c r="D17" s="5">
        <v>0.40459583333333299</v>
      </c>
      <c r="E17">
        <v>1E-3</v>
      </c>
      <c r="F17" s="5">
        <f t="shared" si="0"/>
        <v>0.40359583333333299</v>
      </c>
      <c r="G17">
        <f t="shared" si="1"/>
        <v>12.254874999999991</v>
      </c>
    </row>
    <row r="18" spans="1:7">
      <c r="A18" s="1" t="s">
        <v>35</v>
      </c>
      <c r="B18" s="1" t="s">
        <v>28</v>
      </c>
      <c r="C18" s="1" t="s">
        <v>26</v>
      </c>
      <c r="D18" s="5">
        <v>0.48999583333333302</v>
      </c>
      <c r="E18">
        <v>1E-3</v>
      </c>
      <c r="F18" s="5">
        <f t="shared" si="0"/>
        <v>0.48899583333333302</v>
      </c>
      <c r="G18">
        <f t="shared" si="1"/>
        <v>14.816874999999991</v>
      </c>
    </row>
    <row r="19" spans="1:7">
      <c r="A19" s="1" t="s">
        <v>35</v>
      </c>
      <c r="B19" s="1" t="s">
        <v>28</v>
      </c>
      <c r="C19" s="1" t="s">
        <v>27</v>
      </c>
      <c r="D19" s="5">
        <v>0.49809583333333302</v>
      </c>
      <c r="E19">
        <v>1E-3</v>
      </c>
      <c r="F19" s="5">
        <f t="shared" si="0"/>
        <v>0.49709583333333301</v>
      </c>
      <c r="G19">
        <f t="shared" si="1"/>
        <v>15.059874999999989</v>
      </c>
    </row>
    <row r="20" spans="1:7">
      <c r="A20" s="1" t="s">
        <v>35</v>
      </c>
      <c r="B20" s="1" t="s">
        <v>2</v>
      </c>
      <c r="C20" s="1" t="s">
        <v>5</v>
      </c>
      <c r="D20" s="5">
        <v>0.294095833333333</v>
      </c>
      <c r="E20">
        <v>1E-3</v>
      </c>
      <c r="F20" s="5">
        <f t="shared" si="0"/>
        <v>0.293095833333333</v>
      </c>
      <c r="G20">
        <f t="shared" si="1"/>
        <v>8.93987499999999</v>
      </c>
    </row>
    <row r="21" spans="1:7">
      <c r="A21" s="1" t="s">
        <v>35</v>
      </c>
      <c r="B21" s="1" t="s">
        <v>2</v>
      </c>
      <c r="C21" s="1" t="s">
        <v>6</v>
      </c>
      <c r="D21" s="5">
        <v>0.22699583333333301</v>
      </c>
      <c r="E21">
        <v>1E-3</v>
      </c>
      <c r="F21" s="5">
        <f t="shared" si="0"/>
        <v>0.22599583333333301</v>
      </c>
      <c r="G21">
        <f t="shared" si="1"/>
        <v>6.9268749999999901</v>
      </c>
    </row>
    <row r="22" spans="1:7">
      <c r="A22" s="1" t="s">
        <v>35</v>
      </c>
      <c r="B22" s="1" t="s">
        <v>2</v>
      </c>
      <c r="C22" s="1" t="s">
        <v>7</v>
      </c>
      <c r="D22" s="5">
        <v>0.27729583333333302</v>
      </c>
      <c r="E22">
        <v>1E-3</v>
      </c>
      <c r="F22" s="5">
        <f t="shared" si="0"/>
        <v>0.27629583333333302</v>
      </c>
      <c r="G22">
        <f t="shared" si="1"/>
        <v>8.4358749999999905</v>
      </c>
    </row>
    <row r="23" spans="1:7">
      <c r="A23" s="1" t="s">
        <v>35</v>
      </c>
      <c r="B23" s="1" t="s">
        <v>2</v>
      </c>
      <c r="C23" s="1" t="s">
        <v>9</v>
      </c>
      <c r="D23" s="5">
        <v>0.24979583333333299</v>
      </c>
      <c r="E23">
        <v>1E-3</v>
      </c>
      <c r="F23" s="5">
        <f t="shared" si="0"/>
        <v>0.24879583333333299</v>
      </c>
      <c r="G23">
        <f t="shared" si="1"/>
        <v>7.6108749999999912</v>
      </c>
    </row>
    <row r="24" spans="1:7">
      <c r="A24" s="1" t="s">
        <v>35</v>
      </c>
      <c r="B24" s="1" t="s">
        <v>2</v>
      </c>
      <c r="C24" s="1" t="s">
        <v>10</v>
      </c>
      <c r="D24" s="5">
        <v>0.27209583333333298</v>
      </c>
      <c r="E24">
        <v>1E-3</v>
      </c>
      <c r="F24" s="5">
        <f t="shared" si="0"/>
        <v>0.27109583333333298</v>
      </c>
      <c r="G24">
        <f t="shared" si="1"/>
        <v>8.2798749999999899</v>
      </c>
    </row>
    <row r="25" spans="1:7">
      <c r="A25" s="1" t="s">
        <v>35</v>
      </c>
      <c r="B25" s="1" t="s">
        <v>2</v>
      </c>
      <c r="C25" s="1" t="s">
        <v>11</v>
      </c>
      <c r="D25" s="5">
        <v>0.24279583333333299</v>
      </c>
      <c r="E25">
        <v>1E-3</v>
      </c>
      <c r="F25" s="5">
        <f t="shared" si="0"/>
        <v>0.24179583333333299</v>
      </c>
      <c r="G25">
        <f t="shared" si="1"/>
        <v>7.4008749999999885</v>
      </c>
    </row>
    <row r="26" spans="1:7">
      <c r="A26" s="1" t="s">
        <v>35</v>
      </c>
      <c r="B26" s="1" t="s">
        <v>2</v>
      </c>
      <c r="C26" s="1" t="s">
        <v>13</v>
      </c>
      <c r="D26" s="5">
        <v>0.45329583333333301</v>
      </c>
      <c r="E26">
        <v>1E-3</v>
      </c>
      <c r="F26" s="5">
        <f t="shared" si="0"/>
        <v>0.45229583333333301</v>
      </c>
      <c r="G26">
        <f t="shared" si="1"/>
        <v>13.715874999999993</v>
      </c>
    </row>
    <row r="27" spans="1:7">
      <c r="A27" s="1" t="s">
        <v>35</v>
      </c>
      <c r="B27" s="1" t="s">
        <v>2</v>
      </c>
      <c r="C27" s="1" t="s">
        <v>14</v>
      </c>
      <c r="D27" s="5">
        <v>0.52019583333333297</v>
      </c>
      <c r="E27">
        <v>1E-3</v>
      </c>
      <c r="F27" s="5">
        <f t="shared" si="0"/>
        <v>0.51919583333333297</v>
      </c>
      <c r="G27">
        <f t="shared" si="1"/>
        <v>15.722874999999988</v>
      </c>
    </row>
    <row r="28" spans="1:7">
      <c r="A28" s="1" t="s">
        <v>35</v>
      </c>
      <c r="B28" s="1" t="s">
        <v>2</v>
      </c>
      <c r="C28" s="1" t="s">
        <v>15</v>
      </c>
      <c r="D28" s="5">
        <v>0.490695833333333</v>
      </c>
      <c r="E28">
        <v>1E-3</v>
      </c>
      <c r="F28" s="5">
        <f t="shared" si="0"/>
        <v>0.489695833333333</v>
      </c>
      <c r="G28">
        <f t="shared" si="1"/>
        <v>14.83787499999999</v>
      </c>
    </row>
    <row r="29" spans="1:7">
      <c r="A29" s="1" t="s">
        <v>35</v>
      </c>
      <c r="B29" s="1" t="s">
        <v>2</v>
      </c>
      <c r="C29" s="1" t="s">
        <v>17</v>
      </c>
      <c r="D29" s="5">
        <v>0.49779583333333299</v>
      </c>
      <c r="E29">
        <v>1E-3</v>
      </c>
      <c r="F29" s="5">
        <f t="shared" si="0"/>
        <v>0.49679583333333299</v>
      </c>
      <c r="G29">
        <f t="shared" si="1"/>
        <v>15.050874999999991</v>
      </c>
    </row>
    <row r="30" spans="1:7">
      <c r="A30" s="1" t="s">
        <v>35</v>
      </c>
      <c r="B30" s="1" t="s">
        <v>2</v>
      </c>
      <c r="C30" s="1" t="s">
        <v>18</v>
      </c>
      <c r="D30" s="5">
        <v>0.44839583333333299</v>
      </c>
      <c r="E30">
        <v>1E-3</v>
      </c>
      <c r="F30" s="5">
        <f t="shared" si="0"/>
        <v>0.44739583333333299</v>
      </c>
      <c r="G30">
        <f t="shared" si="1"/>
        <v>13.568874999999988</v>
      </c>
    </row>
    <row r="31" spans="1:7">
      <c r="A31" s="1" t="s">
        <v>35</v>
      </c>
      <c r="B31" s="1" t="s">
        <v>2</v>
      </c>
      <c r="C31" s="1" t="s">
        <v>19</v>
      </c>
      <c r="D31" s="5">
        <v>0.43739583333333298</v>
      </c>
      <c r="E31">
        <v>1E-3</v>
      </c>
      <c r="F31" s="5">
        <f t="shared" si="0"/>
        <v>0.43639583333333298</v>
      </c>
      <c r="G31">
        <f t="shared" si="1"/>
        <v>13.23887499999999</v>
      </c>
    </row>
    <row r="32" spans="1:7">
      <c r="A32" s="1" t="s">
        <v>35</v>
      </c>
      <c r="B32" s="1" t="s">
        <v>2</v>
      </c>
      <c r="C32" s="1" t="s">
        <v>21</v>
      </c>
      <c r="D32" s="5">
        <v>0.25389583333333299</v>
      </c>
      <c r="E32">
        <v>1E-3</v>
      </c>
      <c r="F32" s="5">
        <f t="shared" si="0"/>
        <v>0.25289583333333299</v>
      </c>
      <c r="G32">
        <f t="shared" si="1"/>
        <v>7.7338749999999905</v>
      </c>
    </row>
    <row r="33" spans="1:7">
      <c r="A33" s="1" t="s">
        <v>35</v>
      </c>
      <c r="B33" s="1" t="s">
        <v>2</v>
      </c>
      <c r="C33" s="1" t="s">
        <v>22</v>
      </c>
      <c r="D33" s="5">
        <v>0.27229583333333301</v>
      </c>
      <c r="E33">
        <v>1E-3</v>
      </c>
      <c r="F33" s="5">
        <f t="shared" si="0"/>
        <v>0.27129583333333301</v>
      </c>
      <c r="G33">
        <f t="shared" si="1"/>
        <v>8.2858749999999919</v>
      </c>
    </row>
    <row r="34" spans="1:7">
      <c r="A34" s="1" t="s">
        <v>35</v>
      </c>
      <c r="B34" s="1" t="s">
        <v>2</v>
      </c>
      <c r="C34" s="1" t="s">
        <v>23</v>
      </c>
      <c r="D34" s="5">
        <v>0.279495833333333</v>
      </c>
      <c r="E34">
        <v>1E-3</v>
      </c>
      <c r="F34" s="5">
        <f t="shared" si="0"/>
        <v>0.278495833333333</v>
      </c>
      <c r="G34">
        <f t="shared" si="1"/>
        <v>8.5018749999999912</v>
      </c>
    </row>
    <row r="35" spans="1:7">
      <c r="A35" s="1" t="s">
        <v>35</v>
      </c>
      <c r="B35" s="1" t="s">
        <v>2</v>
      </c>
      <c r="C35" s="1" t="s">
        <v>25</v>
      </c>
      <c r="D35" s="5">
        <v>0.289595833333333</v>
      </c>
      <c r="E35">
        <v>1E-3</v>
      </c>
      <c r="F35" s="5">
        <f t="shared" si="0"/>
        <v>0.288595833333333</v>
      </c>
      <c r="G35">
        <f t="shared" si="1"/>
        <v>8.8048749999999902</v>
      </c>
    </row>
    <row r="36" spans="1:7">
      <c r="A36" s="1" t="s">
        <v>35</v>
      </c>
      <c r="B36" s="1" t="s">
        <v>2</v>
      </c>
      <c r="C36" s="1" t="s">
        <v>26</v>
      </c>
      <c r="D36" s="5">
        <v>0.25319583333333301</v>
      </c>
      <c r="E36">
        <v>1E-3</v>
      </c>
      <c r="F36" s="5">
        <f t="shared" si="0"/>
        <v>0.25219583333333301</v>
      </c>
      <c r="G36">
        <f t="shared" si="1"/>
        <v>7.7128749999999897</v>
      </c>
    </row>
    <row r="37" spans="1:7">
      <c r="A37" s="1" t="s">
        <v>35</v>
      </c>
      <c r="B37" s="1" t="s">
        <v>2</v>
      </c>
      <c r="C37" s="1" t="s">
        <v>27</v>
      </c>
      <c r="D37" s="5">
        <v>0.29289583333333302</v>
      </c>
      <c r="E37">
        <v>1E-3</v>
      </c>
      <c r="F37" s="5">
        <f t="shared" si="0"/>
        <v>0.29189583333333302</v>
      </c>
      <c r="G37">
        <f t="shared" si="1"/>
        <v>8.9038749999999904</v>
      </c>
    </row>
    <row r="38" spans="1:7">
      <c r="A38" s="1" t="s">
        <v>35</v>
      </c>
      <c r="B38" s="1" t="s">
        <v>29</v>
      </c>
      <c r="C38" s="1" t="s">
        <v>5</v>
      </c>
      <c r="D38" s="5">
        <v>0.387354166666667</v>
      </c>
      <c r="E38">
        <v>1E-3</v>
      </c>
      <c r="F38" s="5">
        <f t="shared" si="0"/>
        <v>0.386354166666667</v>
      </c>
      <c r="G38">
        <f t="shared" si="1"/>
        <v>11.737625000000012</v>
      </c>
    </row>
    <row r="39" spans="1:7">
      <c r="A39" s="1" t="s">
        <v>35</v>
      </c>
      <c r="B39" s="1" t="s">
        <v>29</v>
      </c>
      <c r="C39" s="1" t="s">
        <v>6</v>
      </c>
      <c r="D39" s="5">
        <v>0.54795416666666696</v>
      </c>
      <c r="E39">
        <v>1E-3</v>
      </c>
      <c r="F39" s="5">
        <f t="shared" si="0"/>
        <v>0.54695416666666696</v>
      </c>
      <c r="G39">
        <f t="shared" si="1"/>
        <v>16.55562500000001</v>
      </c>
    </row>
    <row r="40" spans="1:7">
      <c r="A40" s="1" t="s">
        <v>35</v>
      </c>
      <c r="B40" s="1" t="s">
        <v>29</v>
      </c>
      <c r="C40" s="1" t="s">
        <v>7</v>
      </c>
      <c r="D40" s="5">
        <v>0.44055416666666702</v>
      </c>
      <c r="E40">
        <v>1E-3</v>
      </c>
      <c r="F40" s="5">
        <f t="shared" si="0"/>
        <v>0.43955416666666702</v>
      </c>
      <c r="G40">
        <f t="shared" si="1"/>
        <v>13.33362500000001</v>
      </c>
    </row>
    <row r="41" spans="1:7">
      <c r="A41" s="1" t="s">
        <v>35</v>
      </c>
      <c r="B41" s="1" t="s">
        <v>29</v>
      </c>
      <c r="C41" s="1" t="s">
        <v>9</v>
      </c>
      <c r="D41" s="5">
        <v>0.26525416666666701</v>
      </c>
      <c r="E41">
        <v>1E-3</v>
      </c>
      <c r="F41" s="5">
        <f t="shared" si="0"/>
        <v>0.26425416666666701</v>
      </c>
      <c r="G41">
        <f t="shared" si="1"/>
        <v>8.0746250000000099</v>
      </c>
    </row>
    <row r="42" spans="1:7">
      <c r="A42" s="1" t="s">
        <v>35</v>
      </c>
      <c r="B42" s="1" t="s">
        <v>29</v>
      </c>
      <c r="C42" s="1" t="s">
        <v>10</v>
      </c>
      <c r="D42" s="5">
        <v>0.31415416666666701</v>
      </c>
      <c r="E42">
        <v>1E-3</v>
      </c>
      <c r="F42" s="5">
        <f t="shared" si="0"/>
        <v>0.31315416666666701</v>
      </c>
      <c r="G42">
        <f t="shared" si="1"/>
        <v>9.5416250000000105</v>
      </c>
    </row>
    <row r="43" spans="1:7">
      <c r="A43" s="1" t="s">
        <v>35</v>
      </c>
      <c r="B43" s="1" t="s">
        <v>29</v>
      </c>
      <c r="C43" s="1" t="s">
        <v>11</v>
      </c>
      <c r="D43" s="5">
        <v>0.32665416666666702</v>
      </c>
      <c r="E43">
        <v>1E-3</v>
      </c>
      <c r="F43" s="5">
        <f t="shared" si="0"/>
        <v>0.32565416666666702</v>
      </c>
      <c r="G43">
        <f t="shared" si="1"/>
        <v>9.9166250000000105</v>
      </c>
    </row>
    <row r="44" spans="1:7">
      <c r="A44" s="1" t="s">
        <v>35</v>
      </c>
      <c r="B44" s="1" t="s">
        <v>29</v>
      </c>
      <c r="C44" s="1" t="s">
        <v>13</v>
      </c>
      <c r="D44" s="5">
        <v>0.41265416666666699</v>
      </c>
      <c r="E44">
        <v>1E-3</v>
      </c>
      <c r="F44" s="5">
        <f t="shared" si="0"/>
        <v>0.41165416666666699</v>
      </c>
      <c r="G44">
        <f t="shared" si="1"/>
        <v>12.496625000000011</v>
      </c>
    </row>
    <row r="45" spans="1:7">
      <c r="A45" s="1" t="s">
        <v>35</v>
      </c>
      <c r="B45" s="1" t="s">
        <v>29</v>
      </c>
      <c r="C45" s="1" t="s">
        <v>14</v>
      </c>
      <c r="D45" s="5">
        <v>0.363654166666667</v>
      </c>
      <c r="E45">
        <v>1E-3</v>
      </c>
      <c r="F45" s="5">
        <f t="shared" si="0"/>
        <v>0.362654166666667</v>
      </c>
      <c r="G45">
        <f t="shared" si="1"/>
        <v>11.02662500000001</v>
      </c>
    </row>
    <row r="46" spans="1:7">
      <c r="A46" s="1" t="s">
        <v>35</v>
      </c>
      <c r="B46" s="1" t="s">
        <v>29</v>
      </c>
      <c r="C46" s="1" t="s">
        <v>15</v>
      </c>
      <c r="D46" s="5">
        <v>0.27985416666666701</v>
      </c>
      <c r="E46">
        <v>1E-3</v>
      </c>
      <c r="F46" s="5">
        <f t="shared" si="0"/>
        <v>0.27885416666666701</v>
      </c>
      <c r="G46">
        <f t="shared" si="1"/>
        <v>8.5126250000000105</v>
      </c>
    </row>
    <row r="47" spans="1:7">
      <c r="A47" s="1" t="s">
        <v>35</v>
      </c>
      <c r="B47" s="1" t="s">
        <v>29</v>
      </c>
      <c r="C47" s="1" t="s">
        <v>17</v>
      </c>
      <c r="D47" s="5">
        <v>0.38345416666666698</v>
      </c>
      <c r="E47">
        <v>1E-3</v>
      </c>
      <c r="F47" s="5">
        <f t="shared" si="0"/>
        <v>0.38245416666666698</v>
      </c>
      <c r="G47">
        <f t="shared" si="1"/>
        <v>11.620625000000011</v>
      </c>
    </row>
    <row r="48" spans="1:7">
      <c r="A48" s="1" t="s">
        <v>35</v>
      </c>
      <c r="B48" s="1" t="s">
        <v>29</v>
      </c>
      <c r="C48" s="1" t="s">
        <v>18</v>
      </c>
      <c r="D48" s="5">
        <v>0.69725416666666695</v>
      </c>
      <c r="E48">
        <v>1E-3</v>
      </c>
      <c r="F48" s="5">
        <f t="shared" si="0"/>
        <v>0.69625416666666695</v>
      </c>
      <c r="G48">
        <f t="shared" si="1"/>
        <v>21.034625000000013</v>
      </c>
    </row>
    <row r="49" spans="1:7">
      <c r="A49" s="1" t="s">
        <v>35</v>
      </c>
      <c r="B49" s="1" t="s">
        <v>29</v>
      </c>
      <c r="C49" s="1" t="s">
        <v>19</v>
      </c>
      <c r="D49" s="5">
        <v>0.49155416666666701</v>
      </c>
      <c r="E49">
        <v>1E-3</v>
      </c>
      <c r="F49" s="5">
        <f t="shared" si="0"/>
        <v>0.49055416666666701</v>
      </c>
      <c r="G49">
        <f t="shared" si="1"/>
        <v>14.86362500000001</v>
      </c>
    </row>
    <row r="50" spans="1:7">
      <c r="A50" s="1" t="s">
        <v>35</v>
      </c>
      <c r="B50" s="1" t="s">
        <v>29</v>
      </c>
      <c r="C50" s="1" t="s">
        <v>21</v>
      </c>
      <c r="D50" s="5">
        <v>0.30545416666666703</v>
      </c>
      <c r="E50">
        <v>1E-3</v>
      </c>
      <c r="F50" s="5">
        <f t="shared" si="0"/>
        <v>0.30445416666666703</v>
      </c>
      <c r="G50">
        <f t="shared" si="1"/>
        <v>9.2806250000000112</v>
      </c>
    </row>
    <row r="51" spans="1:7">
      <c r="A51" s="1" t="s">
        <v>35</v>
      </c>
      <c r="B51" s="1" t="s">
        <v>29</v>
      </c>
      <c r="C51" s="1" t="s">
        <v>22</v>
      </c>
      <c r="D51" s="5">
        <v>0.36905416666666702</v>
      </c>
      <c r="E51">
        <v>1E-3</v>
      </c>
      <c r="F51" s="5">
        <f t="shared" si="0"/>
        <v>0.36805416666666702</v>
      </c>
      <c r="G51">
        <f t="shared" si="1"/>
        <v>11.188625000000012</v>
      </c>
    </row>
    <row r="52" spans="1:7">
      <c r="A52" s="1" t="s">
        <v>35</v>
      </c>
      <c r="B52" s="1" t="s">
        <v>29</v>
      </c>
      <c r="C52" s="1" t="s">
        <v>23</v>
      </c>
      <c r="D52" s="5">
        <v>0.35165416666666699</v>
      </c>
      <c r="E52">
        <v>1E-3</v>
      </c>
      <c r="F52" s="5">
        <f t="shared" si="0"/>
        <v>0.35065416666666699</v>
      </c>
      <c r="G52">
        <f t="shared" si="1"/>
        <v>10.666625000000012</v>
      </c>
    </row>
    <row r="53" spans="1:7">
      <c r="A53" s="1" t="s">
        <v>35</v>
      </c>
      <c r="B53" s="1" t="s">
        <v>29</v>
      </c>
      <c r="C53" s="1" t="s">
        <v>25</v>
      </c>
      <c r="D53" s="5">
        <v>0.66905416666666695</v>
      </c>
      <c r="E53">
        <v>1E-3</v>
      </c>
      <c r="F53" s="5">
        <f t="shared" si="0"/>
        <v>0.66805416666666695</v>
      </c>
      <c r="G53">
        <f t="shared" si="1"/>
        <v>20.188625000000009</v>
      </c>
    </row>
    <row r="54" spans="1:7">
      <c r="A54" s="1" t="s">
        <v>35</v>
      </c>
      <c r="B54" s="1" t="s">
        <v>29</v>
      </c>
      <c r="C54" s="1" t="s">
        <v>26</v>
      </c>
      <c r="D54" s="5">
        <v>0.34035416666666701</v>
      </c>
      <c r="E54">
        <v>1E-3</v>
      </c>
      <c r="F54" s="5">
        <f t="shared" si="0"/>
        <v>0.33935416666666701</v>
      </c>
      <c r="G54">
        <f t="shared" si="1"/>
        <v>10.327625000000012</v>
      </c>
    </row>
    <row r="55" spans="1:7">
      <c r="A55" s="1" t="s">
        <v>35</v>
      </c>
      <c r="B55" s="1" t="s">
        <v>29</v>
      </c>
      <c r="C55" s="1" t="s">
        <v>27</v>
      </c>
      <c r="D55" s="5">
        <v>0.37885416666666699</v>
      </c>
      <c r="E55">
        <v>1E-3</v>
      </c>
      <c r="F55" s="5">
        <f t="shared" si="0"/>
        <v>0.37785416666666699</v>
      </c>
      <c r="G55">
        <f t="shared" si="1"/>
        <v>11.482625000000009</v>
      </c>
    </row>
    <row r="56" spans="1:7">
      <c r="A56" s="1" t="s">
        <v>35</v>
      </c>
      <c r="B56" s="1" t="s">
        <v>30</v>
      </c>
      <c r="C56" s="1" t="s">
        <v>5</v>
      </c>
      <c r="D56" s="5">
        <v>0.44045416666666698</v>
      </c>
      <c r="E56">
        <v>1E-3</v>
      </c>
      <c r="F56" s="5">
        <f t="shared" si="0"/>
        <v>0.43945416666666698</v>
      </c>
      <c r="G56">
        <f t="shared" si="1"/>
        <v>13.330625000000012</v>
      </c>
    </row>
    <row r="57" spans="1:7">
      <c r="A57" s="1" t="s">
        <v>35</v>
      </c>
      <c r="B57" s="1" t="s">
        <v>30</v>
      </c>
      <c r="C57" s="1" t="s">
        <v>6</v>
      </c>
      <c r="D57" s="5">
        <v>0.55845416666666703</v>
      </c>
      <c r="E57">
        <v>1E-3</v>
      </c>
      <c r="F57" s="5">
        <f t="shared" si="0"/>
        <v>0.55745416666666703</v>
      </c>
      <c r="G57">
        <f t="shared" si="1"/>
        <v>16.870625000000015</v>
      </c>
    </row>
    <row r="58" spans="1:7">
      <c r="A58" s="1" t="s">
        <v>35</v>
      </c>
      <c r="B58" s="1" t="s">
        <v>30</v>
      </c>
      <c r="C58" s="1" t="s">
        <v>7</v>
      </c>
      <c r="D58" s="5">
        <v>0.45675416666666702</v>
      </c>
      <c r="E58">
        <v>1E-3</v>
      </c>
      <c r="F58" s="5">
        <f t="shared" si="0"/>
        <v>0.45575416666666702</v>
      </c>
      <c r="G58">
        <f t="shared" si="1"/>
        <v>13.819625000000009</v>
      </c>
    </row>
    <row r="59" spans="1:7">
      <c r="A59" s="1" t="s">
        <v>35</v>
      </c>
      <c r="B59" s="1" t="s">
        <v>30</v>
      </c>
      <c r="C59" s="1" t="s">
        <v>9</v>
      </c>
      <c r="D59" s="5">
        <v>0.47565416666666699</v>
      </c>
      <c r="E59">
        <v>1E-3</v>
      </c>
      <c r="F59" s="5">
        <f t="shared" si="0"/>
        <v>0.47465416666666699</v>
      </c>
      <c r="G59">
        <f t="shared" si="1"/>
        <v>14.386625000000009</v>
      </c>
    </row>
    <row r="60" spans="1:7">
      <c r="A60" s="1" t="s">
        <v>35</v>
      </c>
      <c r="B60" s="1" t="s">
        <v>30</v>
      </c>
      <c r="C60" s="1" t="s">
        <v>10</v>
      </c>
      <c r="D60" s="5">
        <v>0.31105416666666702</v>
      </c>
      <c r="E60">
        <v>1E-3</v>
      </c>
      <c r="F60" s="5">
        <f t="shared" si="0"/>
        <v>0.31005416666666702</v>
      </c>
      <c r="G60">
        <f t="shared" si="1"/>
        <v>9.4486250000000105</v>
      </c>
    </row>
    <row r="61" spans="1:7">
      <c r="A61" s="1" t="s">
        <v>35</v>
      </c>
      <c r="B61" s="1" t="s">
        <v>30</v>
      </c>
      <c r="C61" s="1" t="s">
        <v>11</v>
      </c>
      <c r="D61" s="5">
        <v>0.30735416666666698</v>
      </c>
      <c r="E61">
        <v>1E-3</v>
      </c>
      <c r="F61" s="5">
        <f t="shared" si="0"/>
        <v>0.30635416666666698</v>
      </c>
      <c r="G61">
        <f t="shared" si="1"/>
        <v>9.3376250000000098</v>
      </c>
    </row>
    <row r="62" spans="1:7">
      <c r="A62" s="1" t="s">
        <v>35</v>
      </c>
      <c r="B62" s="1" t="s">
        <v>30</v>
      </c>
      <c r="C62" s="1" t="s">
        <v>13</v>
      </c>
      <c r="D62" s="5">
        <v>0.42255416666666701</v>
      </c>
      <c r="E62">
        <v>1E-3</v>
      </c>
      <c r="F62" s="5">
        <f t="shared" si="0"/>
        <v>0.42155416666666701</v>
      </c>
      <c r="G62">
        <f t="shared" si="1"/>
        <v>12.793625000000013</v>
      </c>
    </row>
    <row r="63" spans="1:7">
      <c r="A63" s="1" t="s">
        <v>35</v>
      </c>
      <c r="B63" s="1" t="s">
        <v>30</v>
      </c>
      <c r="C63" s="1" t="s">
        <v>14</v>
      </c>
      <c r="D63" s="5">
        <v>0.60545416666666696</v>
      </c>
      <c r="E63">
        <v>1E-3</v>
      </c>
      <c r="F63" s="5">
        <f t="shared" si="0"/>
        <v>0.60445416666666696</v>
      </c>
      <c r="G63">
        <f t="shared" si="1"/>
        <v>18.280625000000011</v>
      </c>
    </row>
    <row r="64" spans="1:7">
      <c r="A64" s="1" t="s">
        <v>35</v>
      </c>
      <c r="B64" s="1" t="s">
        <v>30</v>
      </c>
      <c r="C64" s="1" t="s">
        <v>15</v>
      </c>
      <c r="D64" s="5">
        <v>0.54675416666666699</v>
      </c>
      <c r="E64">
        <v>1E-3</v>
      </c>
      <c r="F64" s="5">
        <f t="shared" si="0"/>
        <v>0.54575416666666698</v>
      </c>
      <c r="G64">
        <f t="shared" si="1"/>
        <v>16.519625000000012</v>
      </c>
    </row>
    <row r="65" spans="1:7">
      <c r="A65" s="1" t="s">
        <v>35</v>
      </c>
      <c r="B65" s="1" t="s">
        <v>30</v>
      </c>
      <c r="C65" s="1" t="s">
        <v>17</v>
      </c>
      <c r="D65" s="5">
        <v>0.51485416666666695</v>
      </c>
      <c r="E65">
        <v>1E-3</v>
      </c>
      <c r="F65" s="5">
        <f t="shared" si="0"/>
        <v>0.51385416666666694</v>
      </c>
      <c r="G65">
        <f t="shared" si="1"/>
        <v>15.562625000000008</v>
      </c>
    </row>
    <row r="66" spans="1:7">
      <c r="A66" s="1" t="s">
        <v>35</v>
      </c>
      <c r="B66" s="1" t="s">
        <v>30</v>
      </c>
      <c r="C66" s="1" t="s">
        <v>18</v>
      </c>
      <c r="D66" s="5">
        <v>0.343454166666667</v>
      </c>
      <c r="E66">
        <v>1E-3</v>
      </c>
      <c r="F66" s="5">
        <f t="shared" si="0"/>
        <v>0.342454166666667</v>
      </c>
      <c r="G66">
        <f t="shared" si="1"/>
        <v>10.42062500000001</v>
      </c>
    </row>
    <row r="67" spans="1:7">
      <c r="A67" s="1" t="s">
        <v>35</v>
      </c>
      <c r="B67" s="1" t="s">
        <v>30</v>
      </c>
      <c r="C67" s="1" t="s">
        <v>19</v>
      </c>
      <c r="D67" s="5">
        <v>0.352054166666667</v>
      </c>
      <c r="E67">
        <v>1E-3</v>
      </c>
      <c r="F67" s="5">
        <f t="shared" ref="F67:F130" si="2">D67-E67</f>
        <v>0.351054166666667</v>
      </c>
      <c r="G67">
        <f t="shared" ref="G67:G130" si="3">0.6*(F67+0.0049)*1.5/0.03</f>
        <v>10.678625000000011</v>
      </c>
    </row>
    <row r="68" spans="1:7">
      <c r="A68" s="1" t="s">
        <v>35</v>
      </c>
      <c r="B68" s="1" t="s">
        <v>30</v>
      </c>
      <c r="C68" s="1" t="s">
        <v>21</v>
      </c>
      <c r="D68" s="5">
        <v>0.49275416666666699</v>
      </c>
      <c r="E68">
        <v>1E-3</v>
      </c>
      <c r="F68" s="5">
        <f t="shared" si="2"/>
        <v>0.49175416666666699</v>
      </c>
      <c r="G68">
        <f t="shared" si="3"/>
        <v>14.899625000000011</v>
      </c>
    </row>
    <row r="69" spans="1:7">
      <c r="A69" s="1" t="s">
        <v>35</v>
      </c>
      <c r="B69" s="1" t="s">
        <v>30</v>
      </c>
      <c r="C69" s="1" t="s">
        <v>22</v>
      </c>
      <c r="D69" s="5">
        <v>0.42485416666666698</v>
      </c>
      <c r="E69">
        <v>1E-3</v>
      </c>
      <c r="F69" s="5">
        <f t="shared" si="2"/>
        <v>0.42385416666666698</v>
      </c>
      <c r="G69">
        <f t="shared" si="3"/>
        <v>12.86262500000001</v>
      </c>
    </row>
    <row r="70" spans="1:7">
      <c r="A70" s="1" t="s">
        <v>35</v>
      </c>
      <c r="B70" s="1" t="s">
        <v>30</v>
      </c>
      <c r="C70" s="1" t="s">
        <v>23</v>
      </c>
      <c r="D70" s="5">
        <v>0.41775416666666698</v>
      </c>
      <c r="E70">
        <v>1E-3</v>
      </c>
      <c r="F70" s="5">
        <f t="shared" si="2"/>
        <v>0.41675416666666698</v>
      </c>
      <c r="G70">
        <f t="shared" si="3"/>
        <v>12.649625000000009</v>
      </c>
    </row>
    <row r="71" spans="1:7">
      <c r="A71" s="1" t="s">
        <v>35</v>
      </c>
      <c r="B71" s="1" t="s">
        <v>30</v>
      </c>
      <c r="C71" s="1" t="s">
        <v>25</v>
      </c>
      <c r="D71" s="5">
        <v>0.48235416666666697</v>
      </c>
      <c r="E71">
        <v>1E-3</v>
      </c>
      <c r="F71" s="5">
        <f t="shared" si="2"/>
        <v>0.48135416666666697</v>
      </c>
      <c r="G71">
        <f t="shared" si="3"/>
        <v>14.58762500000001</v>
      </c>
    </row>
    <row r="72" spans="1:7">
      <c r="A72" s="1" t="s">
        <v>35</v>
      </c>
      <c r="B72" s="1" t="s">
        <v>30</v>
      </c>
      <c r="C72" s="1" t="s">
        <v>26</v>
      </c>
      <c r="D72" s="5">
        <v>0.51425416666666701</v>
      </c>
      <c r="E72">
        <v>1E-3</v>
      </c>
      <c r="F72" s="5">
        <f t="shared" si="2"/>
        <v>0.51325416666666701</v>
      </c>
      <c r="G72">
        <f t="shared" si="3"/>
        <v>15.544625000000009</v>
      </c>
    </row>
    <row r="73" spans="1:7">
      <c r="A73" s="1" t="s">
        <v>35</v>
      </c>
      <c r="B73" s="1" t="s">
        <v>30</v>
      </c>
      <c r="C73" s="1" t="s">
        <v>27</v>
      </c>
      <c r="D73" s="5">
        <v>0.549654166666667</v>
      </c>
      <c r="E73">
        <v>1E-3</v>
      </c>
      <c r="F73" s="5">
        <f t="shared" si="2"/>
        <v>0.548654166666667</v>
      </c>
      <c r="G73">
        <f t="shared" si="3"/>
        <v>16.606625000000012</v>
      </c>
    </row>
    <row r="74" spans="1:7">
      <c r="A74" s="1" t="s">
        <v>35</v>
      </c>
      <c r="B74" s="1" t="s">
        <v>31</v>
      </c>
      <c r="C74" s="1" t="s">
        <v>5</v>
      </c>
      <c r="D74" s="5">
        <v>0.59589999999999999</v>
      </c>
      <c r="E74">
        <v>1E-3</v>
      </c>
      <c r="F74" s="5">
        <f t="shared" si="2"/>
        <v>0.59489999999999998</v>
      </c>
      <c r="G74">
        <f t="shared" si="3"/>
        <v>17.994</v>
      </c>
    </row>
    <row r="75" spans="1:7">
      <c r="A75" s="1" t="s">
        <v>35</v>
      </c>
      <c r="B75" s="1" t="s">
        <v>31</v>
      </c>
      <c r="C75" s="1" t="s">
        <v>6</v>
      </c>
      <c r="D75" s="5">
        <v>0.45200000000000001</v>
      </c>
      <c r="E75">
        <v>1E-3</v>
      </c>
      <c r="F75" s="5">
        <f t="shared" si="2"/>
        <v>0.45100000000000001</v>
      </c>
      <c r="G75">
        <f t="shared" si="3"/>
        <v>13.677000000000001</v>
      </c>
    </row>
    <row r="76" spans="1:7">
      <c r="A76" s="1" t="s">
        <v>35</v>
      </c>
      <c r="B76" s="1" t="s">
        <v>31</v>
      </c>
      <c r="C76" s="1" t="s">
        <v>7</v>
      </c>
      <c r="D76" s="5">
        <v>0.47810000000000002</v>
      </c>
      <c r="E76">
        <v>1E-3</v>
      </c>
      <c r="F76" s="5">
        <f t="shared" si="2"/>
        <v>0.47710000000000002</v>
      </c>
      <c r="G76">
        <f t="shared" si="3"/>
        <v>14.46</v>
      </c>
    </row>
    <row r="77" spans="1:7">
      <c r="A77" s="1" t="s">
        <v>35</v>
      </c>
      <c r="B77" s="1" t="s">
        <v>31</v>
      </c>
      <c r="C77" s="1" t="s">
        <v>9</v>
      </c>
      <c r="D77" s="5">
        <v>0.64319999999999999</v>
      </c>
      <c r="E77">
        <v>1E-3</v>
      </c>
      <c r="F77" s="5">
        <f t="shared" si="2"/>
        <v>0.64219999999999999</v>
      </c>
      <c r="G77">
        <f t="shared" si="3"/>
        <v>19.413</v>
      </c>
    </row>
    <row r="78" spans="1:7">
      <c r="A78" s="1" t="s">
        <v>35</v>
      </c>
      <c r="B78" s="1" t="s">
        <v>31</v>
      </c>
      <c r="C78" s="1" t="s">
        <v>10</v>
      </c>
      <c r="D78" s="5">
        <v>0.70120000000000005</v>
      </c>
      <c r="E78">
        <v>1E-3</v>
      </c>
      <c r="F78" s="5">
        <f t="shared" si="2"/>
        <v>0.70020000000000004</v>
      </c>
      <c r="G78">
        <f t="shared" si="3"/>
        <v>21.153000000000006</v>
      </c>
    </row>
    <row r="79" spans="1:7">
      <c r="A79" s="1" t="s">
        <v>35</v>
      </c>
      <c r="B79" s="1" t="s">
        <v>31</v>
      </c>
      <c r="C79" s="1" t="s">
        <v>11</v>
      </c>
      <c r="D79" s="5">
        <v>0.56579999999999997</v>
      </c>
      <c r="E79">
        <v>1E-3</v>
      </c>
      <c r="F79" s="5">
        <f t="shared" si="2"/>
        <v>0.56479999999999997</v>
      </c>
      <c r="G79">
        <f t="shared" si="3"/>
        <v>17.090999999999998</v>
      </c>
    </row>
    <row r="80" spans="1:7">
      <c r="A80" s="1" t="s">
        <v>35</v>
      </c>
      <c r="B80" s="1" t="s">
        <v>31</v>
      </c>
      <c r="C80" s="1" t="s">
        <v>13</v>
      </c>
      <c r="D80" s="5">
        <v>0.45600000000000002</v>
      </c>
      <c r="E80">
        <v>1E-3</v>
      </c>
      <c r="F80" s="5">
        <f t="shared" si="2"/>
        <v>0.45500000000000002</v>
      </c>
      <c r="G80">
        <f t="shared" si="3"/>
        <v>13.797000000000001</v>
      </c>
    </row>
    <row r="81" spans="1:7">
      <c r="A81" s="1" t="s">
        <v>35</v>
      </c>
      <c r="B81" s="1" t="s">
        <v>31</v>
      </c>
      <c r="C81" s="1" t="s">
        <v>14</v>
      </c>
      <c r="D81" s="5">
        <v>0.41239999999999999</v>
      </c>
      <c r="E81">
        <v>1E-3</v>
      </c>
      <c r="F81" s="5">
        <f t="shared" si="2"/>
        <v>0.41139999999999999</v>
      </c>
      <c r="G81">
        <f t="shared" si="3"/>
        <v>12.489000000000001</v>
      </c>
    </row>
    <row r="82" spans="1:7">
      <c r="A82" s="1" t="s">
        <v>35</v>
      </c>
      <c r="B82" s="1" t="s">
        <v>31</v>
      </c>
      <c r="C82" s="1" t="s">
        <v>15</v>
      </c>
      <c r="D82" s="5">
        <v>0.47249999999999998</v>
      </c>
      <c r="E82">
        <v>1E-3</v>
      </c>
      <c r="F82" s="5">
        <f t="shared" si="2"/>
        <v>0.47149999999999997</v>
      </c>
      <c r="G82">
        <f t="shared" si="3"/>
        <v>14.292</v>
      </c>
    </row>
    <row r="83" spans="1:7">
      <c r="A83" s="1" t="s">
        <v>35</v>
      </c>
      <c r="B83" s="1" t="s">
        <v>31</v>
      </c>
      <c r="C83" s="1" t="s">
        <v>17</v>
      </c>
      <c r="D83" s="5">
        <v>0.51119999999999999</v>
      </c>
      <c r="E83">
        <v>1E-3</v>
      </c>
      <c r="F83" s="5">
        <f t="shared" si="2"/>
        <v>0.51019999999999999</v>
      </c>
      <c r="G83">
        <f t="shared" si="3"/>
        <v>15.453000000000001</v>
      </c>
    </row>
    <row r="84" spans="1:7">
      <c r="A84" s="1" t="s">
        <v>35</v>
      </c>
      <c r="B84" s="1" t="s">
        <v>31</v>
      </c>
      <c r="C84" s="1" t="s">
        <v>18</v>
      </c>
      <c r="D84" s="5">
        <v>0.51229999999999998</v>
      </c>
      <c r="E84">
        <v>1E-3</v>
      </c>
      <c r="F84" s="5">
        <f t="shared" si="2"/>
        <v>0.51129999999999998</v>
      </c>
      <c r="G84">
        <f t="shared" si="3"/>
        <v>15.486000000000001</v>
      </c>
    </row>
    <row r="85" spans="1:7">
      <c r="A85" s="1" t="s">
        <v>35</v>
      </c>
      <c r="B85" s="1" t="s">
        <v>31</v>
      </c>
      <c r="C85" s="1" t="s">
        <v>19</v>
      </c>
      <c r="D85" s="5">
        <v>0.41449999999999998</v>
      </c>
      <c r="E85">
        <v>1E-3</v>
      </c>
      <c r="F85" s="5">
        <f t="shared" si="2"/>
        <v>0.41349999999999998</v>
      </c>
      <c r="G85">
        <f t="shared" si="3"/>
        <v>12.552000000000001</v>
      </c>
    </row>
    <row r="86" spans="1:7">
      <c r="A86" s="1" t="s">
        <v>35</v>
      </c>
      <c r="B86" s="1" t="s">
        <v>31</v>
      </c>
      <c r="C86" s="1" t="s">
        <v>21</v>
      </c>
      <c r="D86" s="5">
        <v>0.54449999999999998</v>
      </c>
      <c r="E86">
        <v>1E-3</v>
      </c>
      <c r="F86" s="5">
        <f t="shared" si="2"/>
        <v>0.54349999999999998</v>
      </c>
      <c r="G86">
        <f t="shared" si="3"/>
        <v>16.452000000000002</v>
      </c>
    </row>
    <row r="87" spans="1:7">
      <c r="A87" s="1" t="s">
        <v>35</v>
      </c>
      <c r="B87" s="1" t="s">
        <v>31</v>
      </c>
      <c r="C87" s="1" t="s">
        <v>22</v>
      </c>
      <c r="D87" s="5">
        <v>0.4708</v>
      </c>
      <c r="E87">
        <v>1E-3</v>
      </c>
      <c r="F87" s="5">
        <f t="shared" si="2"/>
        <v>0.4698</v>
      </c>
      <c r="G87">
        <f t="shared" si="3"/>
        <v>14.241</v>
      </c>
    </row>
    <row r="88" spans="1:7">
      <c r="A88" s="1" t="s">
        <v>35</v>
      </c>
      <c r="B88" s="1" t="s">
        <v>31</v>
      </c>
      <c r="C88" s="1" t="s">
        <v>23</v>
      </c>
      <c r="D88" s="5">
        <v>0.72270000000000001</v>
      </c>
      <c r="E88">
        <v>1E-3</v>
      </c>
      <c r="F88" s="5">
        <f t="shared" si="2"/>
        <v>0.72170000000000001</v>
      </c>
      <c r="G88">
        <f t="shared" si="3"/>
        <v>21.797999999999998</v>
      </c>
    </row>
    <row r="89" spans="1:7">
      <c r="A89" s="1" t="s">
        <v>35</v>
      </c>
      <c r="B89" s="1" t="s">
        <v>31</v>
      </c>
      <c r="C89" s="1" t="s">
        <v>25</v>
      </c>
      <c r="D89" s="5">
        <v>0.33810000000000001</v>
      </c>
      <c r="E89">
        <v>1E-3</v>
      </c>
      <c r="F89" s="5">
        <f t="shared" si="2"/>
        <v>0.33710000000000001</v>
      </c>
      <c r="G89">
        <f t="shared" si="3"/>
        <v>10.260000000000002</v>
      </c>
    </row>
    <row r="90" spans="1:7">
      <c r="A90" s="1" t="s">
        <v>35</v>
      </c>
      <c r="B90" s="1" t="s">
        <v>31</v>
      </c>
      <c r="C90" s="1" t="s">
        <v>26</v>
      </c>
      <c r="D90" s="5">
        <v>0.43030000000000002</v>
      </c>
      <c r="E90">
        <v>1E-3</v>
      </c>
      <c r="F90" s="5">
        <f t="shared" si="2"/>
        <v>0.42930000000000001</v>
      </c>
      <c r="G90">
        <f t="shared" si="3"/>
        <v>13.026000000000002</v>
      </c>
    </row>
    <row r="91" spans="1:7">
      <c r="A91" s="1" t="s">
        <v>35</v>
      </c>
      <c r="B91" s="1" t="s">
        <v>31</v>
      </c>
      <c r="C91" s="1" t="s">
        <v>27</v>
      </c>
      <c r="D91" s="5">
        <v>0.35499999999999998</v>
      </c>
      <c r="E91">
        <v>1E-3</v>
      </c>
      <c r="F91" s="5">
        <f t="shared" si="2"/>
        <v>0.35399999999999998</v>
      </c>
      <c r="G91">
        <f t="shared" si="3"/>
        <v>10.767000000000001</v>
      </c>
    </row>
    <row r="92" spans="1:7">
      <c r="A92" s="1" t="s">
        <v>35</v>
      </c>
      <c r="B92" s="1" t="s">
        <v>32</v>
      </c>
      <c r="C92" s="2" t="s">
        <v>4</v>
      </c>
      <c r="D92" s="5">
        <v>0.45390000000000003</v>
      </c>
      <c r="E92">
        <v>1E-3</v>
      </c>
      <c r="F92" s="5">
        <f t="shared" si="2"/>
        <v>0.45290000000000002</v>
      </c>
      <c r="G92">
        <f t="shared" si="3"/>
        <v>13.734000000000002</v>
      </c>
    </row>
    <row r="93" spans="1:7">
      <c r="A93" s="1" t="s">
        <v>35</v>
      </c>
      <c r="B93" s="1" t="s">
        <v>32</v>
      </c>
      <c r="C93" s="2" t="s">
        <v>6</v>
      </c>
      <c r="D93" s="5">
        <v>0.40860000000000002</v>
      </c>
      <c r="E93">
        <v>1E-3</v>
      </c>
      <c r="F93" s="5">
        <f t="shared" si="2"/>
        <v>0.40760000000000002</v>
      </c>
      <c r="G93">
        <f t="shared" si="3"/>
        <v>12.375</v>
      </c>
    </row>
    <row r="94" spans="1:7">
      <c r="A94" s="1" t="s">
        <v>35</v>
      </c>
      <c r="B94" s="1" t="s">
        <v>32</v>
      </c>
      <c r="C94" s="2" t="s">
        <v>7</v>
      </c>
      <c r="D94" s="5">
        <v>0.43020000000000003</v>
      </c>
      <c r="E94">
        <v>1E-3</v>
      </c>
      <c r="F94" s="5">
        <f t="shared" si="2"/>
        <v>0.42920000000000003</v>
      </c>
      <c r="G94">
        <f t="shared" si="3"/>
        <v>13.023000000000001</v>
      </c>
    </row>
    <row r="95" spans="1:7">
      <c r="A95" s="1" t="s">
        <v>35</v>
      </c>
      <c r="B95" s="1" t="s">
        <v>32</v>
      </c>
      <c r="C95" s="2" t="s">
        <v>8</v>
      </c>
      <c r="D95" s="5">
        <v>0.3553</v>
      </c>
      <c r="E95">
        <v>1E-3</v>
      </c>
      <c r="F95" s="5">
        <f t="shared" si="2"/>
        <v>0.3543</v>
      </c>
      <c r="G95">
        <f t="shared" si="3"/>
        <v>10.776000000000002</v>
      </c>
    </row>
    <row r="96" spans="1:7">
      <c r="A96" s="1" t="s">
        <v>35</v>
      </c>
      <c r="B96" s="1" t="s">
        <v>32</v>
      </c>
      <c r="C96" s="2" t="s">
        <v>10</v>
      </c>
      <c r="D96" s="5">
        <v>0.42430000000000001</v>
      </c>
      <c r="E96">
        <v>1E-3</v>
      </c>
      <c r="F96" s="5">
        <f t="shared" si="2"/>
        <v>0.42330000000000001</v>
      </c>
      <c r="G96">
        <f t="shared" si="3"/>
        <v>12.845999999999998</v>
      </c>
    </row>
    <row r="97" spans="1:7">
      <c r="A97" s="1" t="s">
        <v>35</v>
      </c>
      <c r="B97" s="1" t="s">
        <v>32</v>
      </c>
      <c r="C97" s="2" t="s">
        <v>11</v>
      </c>
      <c r="D97" s="5">
        <v>0.40889999999999999</v>
      </c>
      <c r="E97">
        <v>1E-3</v>
      </c>
      <c r="F97" s="5">
        <f t="shared" si="2"/>
        <v>0.40789999999999998</v>
      </c>
      <c r="G97">
        <f t="shared" si="3"/>
        <v>12.383999999999999</v>
      </c>
    </row>
    <row r="98" spans="1:7">
      <c r="A98" s="1" t="s">
        <v>35</v>
      </c>
      <c r="B98" s="1" t="s">
        <v>32</v>
      </c>
      <c r="C98" s="2" t="s">
        <v>12</v>
      </c>
      <c r="D98" s="5">
        <v>0.50409999999999999</v>
      </c>
      <c r="E98">
        <v>1E-3</v>
      </c>
      <c r="F98" s="5">
        <f t="shared" si="2"/>
        <v>0.50309999999999999</v>
      </c>
      <c r="G98">
        <f t="shared" si="3"/>
        <v>15.240000000000002</v>
      </c>
    </row>
    <row r="99" spans="1:7">
      <c r="A99" s="1" t="s">
        <v>35</v>
      </c>
      <c r="B99" s="1" t="s">
        <v>32</v>
      </c>
      <c r="C99" s="2" t="s">
        <v>14</v>
      </c>
      <c r="D99" s="5">
        <v>0.54810000000000003</v>
      </c>
      <c r="E99">
        <v>1E-3</v>
      </c>
      <c r="F99" s="5">
        <f t="shared" si="2"/>
        <v>0.54710000000000003</v>
      </c>
      <c r="G99">
        <f t="shared" si="3"/>
        <v>16.560000000000002</v>
      </c>
    </row>
    <row r="100" spans="1:7">
      <c r="A100" s="1" t="s">
        <v>35</v>
      </c>
      <c r="B100" s="1" t="s">
        <v>32</v>
      </c>
      <c r="C100" s="2" t="s">
        <v>15</v>
      </c>
      <c r="D100" s="5">
        <v>0.57320000000000004</v>
      </c>
      <c r="E100">
        <v>1E-3</v>
      </c>
      <c r="F100" s="5">
        <f t="shared" si="2"/>
        <v>0.57220000000000004</v>
      </c>
      <c r="G100">
        <f t="shared" si="3"/>
        <v>17.313000000000002</v>
      </c>
    </row>
    <row r="101" spans="1:7">
      <c r="A101" s="1" t="s">
        <v>35</v>
      </c>
      <c r="B101" s="1" t="s">
        <v>32</v>
      </c>
      <c r="C101" s="2" t="s">
        <v>16</v>
      </c>
      <c r="D101" s="5">
        <v>0.37709999999999999</v>
      </c>
      <c r="E101">
        <v>1E-3</v>
      </c>
      <c r="F101" s="5">
        <f t="shared" si="2"/>
        <v>0.37609999999999999</v>
      </c>
      <c r="G101">
        <f t="shared" si="3"/>
        <v>11.43</v>
      </c>
    </row>
    <row r="102" spans="1:7">
      <c r="A102" s="1" t="s">
        <v>35</v>
      </c>
      <c r="B102" s="1" t="s">
        <v>32</v>
      </c>
      <c r="C102" s="2" t="s">
        <v>18</v>
      </c>
      <c r="D102" s="5">
        <v>0.66390000000000005</v>
      </c>
      <c r="E102">
        <v>1E-3</v>
      </c>
      <c r="F102" s="5">
        <f t="shared" si="2"/>
        <v>0.66290000000000004</v>
      </c>
      <c r="G102">
        <f t="shared" si="3"/>
        <v>20.034000000000006</v>
      </c>
    </row>
    <row r="103" spans="1:7">
      <c r="A103" s="1" t="s">
        <v>35</v>
      </c>
      <c r="B103" s="1" t="s">
        <v>32</v>
      </c>
      <c r="C103" s="2" t="s">
        <v>19</v>
      </c>
      <c r="D103" s="5">
        <v>0.57389999999999997</v>
      </c>
      <c r="E103">
        <v>1E-3</v>
      </c>
      <c r="F103" s="5">
        <f t="shared" si="2"/>
        <v>0.57289999999999996</v>
      </c>
      <c r="G103">
        <f t="shared" si="3"/>
        <v>17.334</v>
      </c>
    </row>
    <row r="104" spans="1:7">
      <c r="A104" s="1" t="s">
        <v>35</v>
      </c>
      <c r="B104" s="1" t="s">
        <v>32</v>
      </c>
      <c r="C104" s="2" t="s">
        <v>20</v>
      </c>
      <c r="D104" s="5">
        <v>0.45440000000000003</v>
      </c>
      <c r="E104">
        <v>1E-3</v>
      </c>
      <c r="F104" s="5">
        <f t="shared" si="2"/>
        <v>0.45340000000000003</v>
      </c>
      <c r="G104">
        <f t="shared" si="3"/>
        <v>13.749000000000001</v>
      </c>
    </row>
    <row r="105" spans="1:7">
      <c r="A105" s="1" t="s">
        <v>35</v>
      </c>
      <c r="B105" s="1" t="s">
        <v>32</v>
      </c>
      <c r="C105" s="2" t="s">
        <v>22</v>
      </c>
      <c r="D105" s="5">
        <v>0.58209999999999995</v>
      </c>
      <c r="E105">
        <v>1E-3</v>
      </c>
      <c r="F105" s="5">
        <f t="shared" si="2"/>
        <v>0.58109999999999995</v>
      </c>
      <c r="G105">
        <f t="shared" si="3"/>
        <v>17.579999999999998</v>
      </c>
    </row>
    <row r="106" spans="1:7">
      <c r="A106" s="1" t="s">
        <v>35</v>
      </c>
      <c r="B106" s="1" t="s">
        <v>32</v>
      </c>
      <c r="C106" s="2" t="s">
        <v>23</v>
      </c>
      <c r="D106" s="5">
        <v>0.56969999999999998</v>
      </c>
      <c r="E106">
        <v>1E-3</v>
      </c>
      <c r="F106" s="5">
        <f t="shared" si="2"/>
        <v>0.56869999999999998</v>
      </c>
      <c r="G106">
        <f t="shared" si="3"/>
        <v>17.207999999999998</v>
      </c>
    </row>
    <row r="107" spans="1:7">
      <c r="A107" s="1" t="s">
        <v>35</v>
      </c>
      <c r="B107" s="1" t="s">
        <v>32</v>
      </c>
      <c r="C107" s="2" t="s">
        <v>24</v>
      </c>
      <c r="D107" s="5">
        <v>0.4516</v>
      </c>
      <c r="E107">
        <v>1E-3</v>
      </c>
      <c r="F107" s="5">
        <f t="shared" si="2"/>
        <v>0.4506</v>
      </c>
      <c r="G107">
        <f t="shared" si="3"/>
        <v>13.664999999999999</v>
      </c>
    </row>
    <row r="108" spans="1:7">
      <c r="A108" s="1" t="s">
        <v>35</v>
      </c>
      <c r="B108" s="1" t="s">
        <v>32</v>
      </c>
      <c r="C108" s="2" t="s">
        <v>26</v>
      </c>
      <c r="D108" s="5">
        <v>0.36780000000000002</v>
      </c>
      <c r="E108">
        <v>1E-3</v>
      </c>
      <c r="F108" s="5">
        <f t="shared" si="2"/>
        <v>0.36680000000000001</v>
      </c>
      <c r="G108">
        <f t="shared" si="3"/>
        <v>11.151000000000002</v>
      </c>
    </row>
    <row r="109" spans="1:7">
      <c r="A109" s="1" t="s">
        <v>35</v>
      </c>
      <c r="B109" s="1" t="s">
        <v>32</v>
      </c>
      <c r="C109" s="2" t="s">
        <v>27</v>
      </c>
      <c r="D109" s="5">
        <v>0.4582</v>
      </c>
      <c r="E109">
        <v>1E-3</v>
      </c>
      <c r="F109" s="5">
        <f t="shared" si="2"/>
        <v>0.4572</v>
      </c>
      <c r="G109">
        <f t="shared" si="3"/>
        <v>13.863</v>
      </c>
    </row>
    <row r="110" spans="1:7">
      <c r="A110" s="1" t="s">
        <v>35</v>
      </c>
      <c r="B110" s="1" t="s">
        <v>33</v>
      </c>
      <c r="C110" s="2" t="s">
        <v>4</v>
      </c>
      <c r="D110" s="5">
        <v>0.45879545454545501</v>
      </c>
      <c r="E110">
        <v>1E-3</v>
      </c>
      <c r="F110" s="5">
        <f t="shared" si="2"/>
        <v>0.45779545454545501</v>
      </c>
      <c r="G110">
        <f t="shared" si="3"/>
        <v>13.88086363636365</v>
      </c>
    </row>
    <row r="111" spans="1:7">
      <c r="A111" s="1" t="s">
        <v>35</v>
      </c>
      <c r="B111" s="1" t="s">
        <v>33</v>
      </c>
      <c r="C111" s="2" t="s">
        <v>6</v>
      </c>
      <c r="D111" s="5">
        <v>0.44989545454545499</v>
      </c>
      <c r="E111">
        <v>1E-3</v>
      </c>
      <c r="F111" s="5">
        <f t="shared" si="2"/>
        <v>0.44889545454545499</v>
      </c>
      <c r="G111">
        <f t="shared" si="3"/>
        <v>13.61386363636365</v>
      </c>
    </row>
    <row r="112" spans="1:7">
      <c r="A112" s="1" t="s">
        <v>35</v>
      </c>
      <c r="B112" s="1" t="s">
        <v>33</v>
      </c>
      <c r="C112" s="2" t="s">
        <v>7</v>
      </c>
      <c r="D112" s="5">
        <v>0.40319545454545502</v>
      </c>
      <c r="E112">
        <v>1E-3</v>
      </c>
      <c r="F112" s="5">
        <f t="shared" si="2"/>
        <v>0.40219545454545502</v>
      </c>
      <c r="G112">
        <f t="shared" si="3"/>
        <v>12.21286363636365</v>
      </c>
    </row>
    <row r="113" spans="1:7">
      <c r="A113" s="1" t="s">
        <v>35</v>
      </c>
      <c r="B113" s="1" t="s">
        <v>33</v>
      </c>
      <c r="C113" s="2" t="s">
        <v>8</v>
      </c>
      <c r="D113" s="5">
        <v>0.63989545454545405</v>
      </c>
      <c r="E113">
        <v>1E-3</v>
      </c>
      <c r="F113" s="5">
        <f t="shared" si="2"/>
        <v>0.63889545454545404</v>
      </c>
      <c r="G113">
        <f t="shared" si="3"/>
        <v>19.313863636363621</v>
      </c>
    </row>
    <row r="114" spans="1:7">
      <c r="A114" s="1" t="s">
        <v>35</v>
      </c>
      <c r="B114" s="1" t="s">
        <v>33</v>
      </c>
      <c r="C114" s="2" t="s">
        <v>10</v>
      </c>
      <c r="D114" s="5">
        <v>0.76479545454545494</v>
      </c>
      <c r="E114">
        <v>1E-3</v>
      </c>
      <c r="F114" s="5">
        <f t="shared" si="2"/>
        <v>0.76379545454545494</v>
      </c>
      <c r="G114">
        <f t="shared" si="3"/>
        <v>23.060863636363649</v>
      </c>
    </row>
    <row r="115" spans="1:7">
      <c r="A115" s="1" t="s">
        <v>35</v>
      </c>
      <c r="B115" s="1" t="s">
        <v>33</v>
      </c>
      <c r="C115" s="2" t="s">
        <v>11</v>
      </c>
      <c r="D115" s="5">
        <v>0.67649545454545501</v>
      </c>
      <c r="E115">
        <v>1E-3</v>
      </c>
      <c r="F115" s="5">
        <f t="shared" si="2"/>
        <v>0.67549545454545501</v>
      </c>
      <c r="G115">
        <f t="shared" si="3"/>
        <v>20.411863636363652</v>
      </c>
    </row>
    <row r="116" spans="1:7">
      <c r="A116" s="1" t="s">
        <v>35</v>
      </c>
      <c r="B116" s="1" t="s">
        <v>33</v>
      </c>
      <c r="C116" s="2" t="s">
        <v>12</v>
      </c>
      <c r="D116" s="5">
        <v>0.41689545454545501</v>
      </c>
      <c r="E116">
        <v>1E-3</v>
      </c>
      <c r="F116" s="5">
        <f t="shared" si="2"/>
        <v>0.41589545454545501</v>
      </c>
      <c r="G116">
        <f t="shared" si="3"/>
        <v>12.62386363636365</v>
      </c>
    </row>
    <row r="117" spans="1:7">
      <c r="A117" s="1" t="s">
        <v>35</v>
      </c>
      <c r="B117" s="1" t="s">
        <v>33</v>
      </c>
      <c r="C117" s="2" t="s">
        <v>14</v>
      </c>
      <c r="D117" s="5">
        <v>0.459895454545455</v>
      </c>
      <c r="E117">
        <v>1E-3</v>
      </c>
      <c r="F117" s="5">
        <f t="shared" si="2"/>
        <v>0.45889545454545499</v>
      </c>
      <c r="G117">
        <f t="shared" si="3"/>
        <v>13.913863636363649</v>
      </c>
    </row>
    <row r="118" spans="1:7">
      <c r="A118" s="1" t="s">
        <v>35</v>
      </c>
      <c r="B118" s="1" t="s">
        <v>33</v>
      </c>
      <c r="C118" s="2" t="s">
        <v>15</v>
      </c>
      <c r="D118" s="5">
        <v>0.44459545454545502</v>
      </c>
      <c r="E118">
        <v>1E-3</v>
      </c>
      <c r="F118" s="5">
        <f t="shared" si="2"/>
        <v>0.44359545454545501</v>
      </c>
      <c r="G118">
        <f t="shared" si="3"/>
        <v>13.454863636363651</v>
      </c>
    </row>
    <row r="119" spans="1:7">
      <c r="A119" s="1" t="s">
        <v>35</v>
      </c>
      <c r="B119" s="1" t="s">
        <v>33</v>
      </c>
      <c r="C119" s="2" t="s">
        <v>16</v>
      </c>
      <c r="D119" s="5">
        <v>0.953795454545455</v>
      </c>
      <c r="E119">
        <v>1E-3</v>
      </c>
      <c r="F119" s="5">
        <f t="shared" si="2"/>
        <v>0.952795454545455</v>
      </c>
      <c r="G119">
        <f t="shared" si="3"/>
        <v>28.730863636363651</v>
      </c>
    </row>
    <row r="120" spans="1:7">
      <c r="A120" s="1" t="s">
        <v>35</v>
      </c>
      <c r="B120" s="1" t="s">
        <v>33</v>
      </c>
      <c r="C120" s="2" t="s">
        <v>18</v>
      </c>
      <c r="D120" s="5">
        <v>0.65319545454545502</v>
      </c>
      <c r="E120">
        <v>1E-3</v>
      </c>
      <c r="F120" s="5">
        <f t="shared" si="2"/>
        <v>0.65219545454545502</v>
      </c>
      <c r="G120">
        <f t="shared" si="3"/>
        <v>19.71286363636365</v>
      </c>
    </row>
    <row r="121" spans="1:7">
      <c r="A121" s="1" t="s">
        <v>35</v>
      </c>
      <c r="B121" s="1" t="s">
        <v>33</v>
      </c>
      <c r="C121" s="2" t="s">
        <v>19</v>
      </c>
      <c r="D121" s="5">
        <v>0.74569545454545405</v>
      </c>
      <c r="E121">
        <v>1E-3</v>
      </c>
      <c r="F121" s="5">
        <f t="shared" si="2"/>
        <v>0.74469545454545405</v>
      </c>
      <c r="G121">
        <f t="shared" si="3"/>
        <v>22.487863636363624</v>
      </c>
    </row>
    <row r="122" spans="1:7">
      <c r="A122" s="1" t="s">
        <v>35</v>
      </c>
      <c r="B122" s="1" t="s">
        <v>33</v>
      </c>
      <c r="C122" s="2" t="s">
        <v>20</v>
      </c>
      <c r="D122" s="5">
        <v>0.47659545454545399</v>
      </c>
      <c r="E122">
        <v>1E-3</v>
      </c>
      <c r="F122" s="5">
        <f t="shared" si="2"/>
        <v>0.47559545454545399</v>
      </c>
      <c r="G122">
        <f t="shared" si="3"/>
        <v>14.414863636363622</v>
      </c>
    </row>
    <row r="123" spans="1:7">
      <c r="A123" s="1" t="s">
        <v>35</v>
      </c>
      <c r="B123" s="1" t="s">
        <v>33</v>
      </c>
      <c r="C123" s="2" t="s">
        <v>22</v>
      </c>
      <c r="D123" s="5">
        <v>0.62959545454545496</v>
      </c>
      <c r="E123">
        <v>1E-3</v>
      </c>
      <c r="F123" s="5">
        <f t="shared" si="2"/>
        <v>0.62859545454545496</v>
      </c>
      <c r="G123">
        <f t="shared" si="3"/>
        <v>19.004863636363648</v>
      </c>
    </row>
    <row r="124" spans="1:7">
      <c r="A124" s="1" t="s">
        <v>35</v>
      </c>
      <c r="B124" s="1" t="s">
        <v>33</v>
      </c>
      <c r="C124" s="2" t="s">
        <v>23</v>
      </c>
      <c r="D124" s="5">
        <v>0.66009545454545404</v>
      </c>
      <c r="E124">
        <v>1E-3</v>
      </c>
      <c r="F124" s="5">
        <f t="shared" si="2"/>
        <v>0.65909545454545404</v>
      </c>
      <c r="G124">
        <f t="shared" si="3"/>
        <v>19.919863636363623</v>
      </c>
    </row>
    <row r="125" spans="1:7">
      <c r="A125" s="1" t="s">
        <v>35</v>
      </c>
      <c r="B125" s="1" t="s">
        <v>33</v>
      </c>
      <c r="C125" s="2" t="s">
        <v>24</v>
      </c>
      <c r="D125" s="5">
        <v>0.74389545454545503</v>
      </c>
      <c r="E125">
        <v>1E-3</v>
      </c>
      <c r="F125" s="5">
        <f t="shared" si="2"/>
        <v>0.74289545454545503</v>
      </c>
      <c r="G125">
        <f t="shared" si="3"/>
        <v>22.433863636363654</v>
      </c>
    </row>
    <row r="126" spans="1:7">
      <c r="A126" s="1" t="s">
        <v>35</v>
      </c>
      <c r="B126" s="1" t="s">
        <v>33</v>
      </c>
      <c r="C126" s="2" t="s">
        <v>26</v>
      </c>
      <c r="D126" s="5">
        <v>0.56389545454545498</v>
      </c>
      <c r="E126">
        <v>1E-3</v>
      </c>
      <c r="F126" s="5">
        <f t="shared" si="2"/>
        <v>0.56289545454545498</v>
      </c>
      <c r="G126">
        <f t="shared" si="3"/>
        <v>17.033863636363648</v>
      </c>
    </row>
    <row r="127" spans="1:7">
      <c r="A127" s="1" t="s">
        <v>35</v>
      </c>
      <c r="B127" s="1" t="s">
        <v>33</v>
      </c>
      <c r="C127" s="2" t="s">
        <v>27</v>
      </c>
      <c r="D127" s="5">
        <v>0.59689545454545501</v>
      </c>
      <c r="E127">
        <v>1E-3</v>
      </c>
      <c r="F127" s="5">
        <f t="shared" si="2"/>
        <v>0.59589545454545501</v>
      </c>
      <c r="G127">
        <f t="shared" si="3"/>
        <v>18.02386363636365</v>
      </c>
    </row>
    <row r="128" spans="1:7">
      <c r="A128" s="1" t="s">
        <v>35</v>
      </c>
      <c r="B128" s="1" t="s">
        <v>34</v>
      </c>
      <c r="C128" s="2" t="s">
        <v>4</v>
      </c>
      <c r="D128" s="5">
        <v>0.50829545454545499</v>
      </c>
      <c r="E128">
        <v>1E-3</v>
      </c>
      <c r="F128" s="5">
        <f t="shared" si="2"/>
        <v>0.50729545454545499</v>
      </c>
      <c r="G128">
        <f t="shared" si="3"/>
        <v>15.365863636363649</v>
      </c>
    </row>
    <row r="129" spans="1:7">
      <c r="A129" s="1" t="s">
        <v>35</v>
      </c>
      <c r="B129" s="1" t="s">
        <v>34</v>
      </c>
      <c r="C129" s="2" t="s">
        <v>6</v>
      </c>
      <c r="D129" s="5">
        <v>0.425095454545455</v>
      </c>
      <c r="E129">
        <v>1E-3</v>
      </c>
      <c r="F129" s="5">
        <f t="shared" si="2"/>
        <v>0.424095454545455</v>
      </c>
      <c r="G129">
        <f t="shared" si="3"/>
        <v>12.869863636363648</v>
      </c>
    </row>
    <row r="130" spans="1:7">
      <c r="A130" s="1" t="s">
        <v>35</v>
      </c>
      <c r="B130" s="1" t="s">
        <v>34</v>
      </c>
      <c r="C130" s="2" t="s">
        <v>7</v>
      </c>
      <c r="D130" s="5">
        <v>0.32969545454545501</v>
      </c>
      <c r="E130">
        <v>1E-3</v>
      </c>
      <c r="F130" s="5">
        <f t="shared" si="2"/>
        <v>0.32869545454545501</v>
      </c>
      <c r="G130">
        <f t="shared" si="3"/>
        <v>10.007863636363652</v>
      </c>
    </row>
    <row r="131" spans="1:7">
      <c r="A131" s="1" t="s">
        <v>35</v>
      </c>
      <c r="B131" s="1" t="s">
        <v>34</v>
      </c>
      <c r="C131" s="2" t="s">
        <v>8</v>
      </c>
      <c r="D131" s="5">
        <v>0.61459545454545506</v>
      </c>
      <c r="E131">
        <v>1E-3</v>
      </c>
      <c r="F131" s="5">
        <f t="shared" ref="F131:F194" si="4">D131-E131</f>
        <v>0.61359545454545505</v>
      </c>
      <c r="G131">
        <f t="shared" ref="G131:G194" si="5">0.6*(F131+0.0049)*1.5/0.03</f>
        <v>18.554863636363653</v>
      </c>
    </row>
    <row r="132" spans="1:7">
      <c r="A132" s="1" t="s">
        <v>35</v>
      </c>
      <c r="B132" s="1" t="s">
        <v>34</v>
      </c>
      <c r="C132" s="2" t="s">
        <v>10</v>
      </c>
      <c r="D132" s="5">
        <v>0.77989545454545495</v>
      </c>
      <c r="E132">
        <v>1E-3</v>
      </c>
      <c r="F132" s="5">
        <f t="shared" si="4"/>
        <v>0.77889545454545495</v>
      </c>
      <c r="G132">
        <f t="shared" si="5"/>
        <v>23.513863636363645</v>
      </c>
    </row>
    <row r="133" spans="1:7">
      <c r="A133" s="1" t="s">
        <v>35</v>
      </c>
      <c r="B133" s="1" t="s">
        <v>34</v>
      </c>
      <c r="C133" s="2" t="s">
        <v>11</v>
      </c>
      <c r="D133" s="5">
        <v>0.61029545454545497</v>
      </c>
      <c r="E133">
        <v>1E-3</v>
      </c>
      <c r="F133" s="5">
        <f t="shared" si="4"/>
        <v>0.60929545454545497</v>
      </c>
      <c r="G133">
        <f t="shared" si="5"/>
        <v>18.425863636363648</v>
      </c>
    </row>
    <row r="134" spans="1:7">
      <c r="A134" s="1" t="s">
        <v>35</v>
      </c>
      <c r="B134" s="1" t="s">
        <v>34</v>
      </c>
      <c r="C134" s="2" t="s">
        <v>12</v>
      </c>
      <c r="D134" s="5">
        <v>0.37609545454545501</v>
      </c>
      <c r="E134">
        <v>1E-3</v>
      </c>
      <c r="F134" s="5">
        <f t="shared" si="4"/>
        <v>0.37509545454545501</v>
      </c>
      <c r="G134">
        <f t="shared" si="5"/>
        <v>11.39986363636365</v>
      </c>
    </row>
    <row r="135" spans="1:7">
      <c r="A135" s="1" t="s">
        <v>35</v>
      </c>
      <c r="B135" s="1" t="s">
        <v>34</v>
      </c>
      <c r="C135" s="2" t="s">
        <v>14</v>
      </c>
      <c r="D135" s="5">
        <v>0.45649545454545498</v>
      </c>
      <c r="E135">
        <v>1E-3</v>
      </c>
      <c r="F135" s="5">
        <f t="shared" si="4"/>
        <v>0.45549545454545498</v>
      </c>
      <c r="G135">
        <f t="shared" si="5"/>
        <v>13.811863636363649</v>
      </c>
    </row>
    <row r="136" spans="1:7">
      <c r="A136" s="1" t="s">
        <v>35</v>
      </c>
      <c r="B136" s="1" t="s">
        <v>34</v>
      </c>
      <c r="C136" s="2" t="s">
        <v>15</v>
      </c>
      <c r="D136" s="5">
        <v>0.56999545454545497</v>
      </c>
      <c r="E136">
        <v>1E-3</v>
      </c>
      <c r="F136" s="5">
        <f t="shared" si="4"/>
        <v>0.56899545454545497</v>
      </c>
      <c r="G136">
        <f t="shared" si="5"/>
        <v>17.216863636363648</v>
      </c>
    </row>
    <row r="137" spans="1:7">
      <c r="A137" s="1" t="s">
        <v>35</v>
      </c>
      <c r="B137" s="1" t="s">
        <v>34</v>
      </c>
      <c r="C137" s="2" t="s">
        <v>16</v>
      </c>
      <c r="D137" s="5">
        <v>0.60879545454545503</v>
      </c>
      <c r="E137">
        <v>1E-3</v>
      </c>
      <c r="F137" s="5">
        <f t="shared" si="4"/>
        <v>0.60779545454545503</v>
      </c>
      <c r="G137">
        <f t="shared" si="5"/>
        <v>18.38086363636365</v>
      </c>
    </row>
    <row r="138" spans="1:7">
      <c r="A138" s="1" t="s">
        <v>35</v>
      </c>
      <c r="B138" s="1" t="s">
        <v>34</v>
      </c>
      <c r="C138" s="2" t="s">
        <v>18</v>
      </c>
      <c r="D138" s="5">
        <v>0.58309545454545497</v>
      </c>
      <c r="E138">
        <v>1E-3</v>
      </c>
      <c r="F138" s="5">
        <f t="shared" si="4"/>
        <v>0.58209545454545497</v>
      </c>
      <c r="G138">
        <f t="shared" si="5"/>
        <v>17.609863636363649</v>
      </c>
    </row>
    <row r="139" spans="1:7">
      <c r="A139" s="1" t="s">
        <v>35</v>
      </c>
      <c r="B139" s="1" t="s">
        <v>34</v>
      </c>
      <c r="C139" s="2" t="s">
        <v>19</v>
      </c>
      <c r="D139" s="5">
        <v>0.53789545454545495</v>
      </c>
      <c r="E139">
        <v>1E-3</v>
      </c>
      <c r="F139" s="5">
        <f t="shared" si="4"/>
        <v>0.53689545454545495</v>
      </c>
      <c r="G139">
        <f t="shared" si="5"/>
        <v>16.253863636363651</v>
      </c>
    </row>
    <row r="140" spans="1:7">
      <c r="A140" s="1" t="s">
        <v>35</v>
      </c>
      <c r="B140" s="1" t="s">
        <v>34</v>
      </c>
      <c r="C140" s="2" t="s">
        <v>20</v>
      </c>
      <c r="D140" s="5">
        <v>0.80049545454545501</v>
      </c>
      <c r="E140">
        <v>1E-3</v>
      </c>
      <c r="F140" s="5">
        <f t="shared" si="4"/>
        <v>0.79949545454545501</v>
      </c>
      <c r="G140">
        <f t="shared" si="5"/>
        <v>24.131863636363651</v>
      </c>
    </row>
    <row r="141" spans="1:7">
      <c r="A141" s="1" t="s">
        <v>35</v>
      </c>
      <c r="B141" s="1" t="s">
        <v>34</v>
      </c>
      <c r="C141" s="2" t="s">
        <v>22</v>
      </c>
      <c r="D141" s="5">
        <v>0.54279545454545497</v>
      </c>
      <c r="E141">
        <v>1E-3</v>
      </c>
      <c r="F141" s="5">
        <f t="shared" si="4"/>
        <v>0.54179545454545497</v>
      </c>
      <c r="G141">
        <f t="shared" si="5"/>
        <v>16.400863636363649</v>
      </c>
    </row>
    <row r="142" spans="1:7">
      <c r="A142" s="1" t="s">
        <v>35</v>
      </c>
      <c r="B142" s="1" t="s">
        <v>34</v>
      </c>
      <c r="C142" s="2" t="s">
        <v>23</v>
      </c>
      <c r="D142" s="5">
        <v>0.75609545454545501</v>
      </c>
      <c r="E142">
        <v>1E-3</v>
      </c>
      <c r="F142" s="5">
        <f t="shared" si="4"/>
        <v>0.75509545454545501</v>
      </c>
      <c r="G142">
        <f t="shared" si="5"/>
        <v>22.79986363636365</v>
      </c>
    </row>
    <row r="143" spans="1:7">
      <c r="A143" s="1" t="s">
        <v>35</v>
      </c>
      <c r="B143" s="1" t="s">
        <v>34</v>
      </c>
      <c r="C143" s="2" t="s">
        <v>24</v>
      </c>
      <c r="D143" s="5">
        <v>0.71539545454545495</v>
      </c>
      <c r="E143">
        <v>1E-3</v>
      </c>
      <c r="F143" s="5">
        <f t="shared" si="4"/>
        <v>0.71439545454545494</v>
      </c>
      <c r="G143">
        <f t="shared" si="5"/>
        <v>21.578863636363646</v>
      </c>
    </row>
    <row r="144" spans="1:7">
      <c r="A144" s="1" t="s">
        <v>35</v>
      </c>
      <c r="B144" s="1" t="s">
        <v>34</v>
      </c>
      <c r="C144" s="2" t="s">
        <v>26</v>
      </c>
      <c r="D144" s="5">
        <v>0.613095454545455</v>
      </c>
      <c r="E144">
        <v>1E-3</v>
      </c>
      <c r="F144" s="5">
        <f t="shared" si="4"/>
        <v>0.612095454545455</v>
      </c>
      <c r="G144">
        <f t="shared" si="5"/>
        <v>18.509863636363651</v>
      </c>
    </row>
    <row r="145" spans="1:7">
      <c r="A145" s="1" t="s">
        <v>35</v>
      </c>
      <c r="B145" s="1" t="s">
        <v>34</v>
      </c>
      <c r="C145" s="2" t="s">
        <v>27</v>
      </c>
      <c r="D145" s="5">
        <v>0.50839545454545498</v>
      </c>
      <c r="E145">
        <v>1E-3</v>
      </c>
      <c r="F145" s="5">
        <f t="shared" si="4"/>
        <v>0.50739545454545498</v>
      </c>
      <c r="G145">
        <f t="shared" si="5"/>
        <v>15.368863636363651</v>
      </c>
    </row>
    <row r="146" spans="1:7">
      <c r="A146" s="1" t="s">
        <v>36</v>
      </c>
      <c r="B146" s="1" t="s">
        <v>37</v>
      </c>
      <c r="C146" s="2" t="s">
        <v>4</v>
      </c>
      <c r="D146" s="5">
        <v>0.83769583333333297</v>
      </c>
      <c r="E146">
        <v>1E-3</v>
      </c>
      <c r="F146" s="5">
        <f t="shared" si="4"/>
        <v>0.83669583333333297</v>
      </c>
      <c r="G146">
        <f t="shared" si="5"/>
        <v>25.247874999999986</v>
      </c>
    </row>
    <row r="147" spans="1:7">
      <c r="A147" s="1" t="s">
        <v>36</v>
      </c>
      <c r="B147" s="1" t="s">
        <v>37</v>
      </c>
      <c r="C147" s="2" t="s">
        <v>6</v>
      </c>
      <c r="D147" s="5">
        <v>0.60319583333333304</v>
      </c>
      <c r="E147">
        <v>1E-3</v>
      </c>
      <c r="F147" s="5">
        <f t="shared" si="4"/>
        <v>0.60219583333333304</v>
      </c>
      <c r="G147">
        <f t="shared" si="5"/>
        <v>18.212874999999993</v>
      </c>
    </row>
    <row r="148" spans="1:7">
      <c r="A148" s="1" t="s">
        <v>36</v>
      </c>
      <c r="B148" s="1" t="s">
        <v>37</v>
      </c>
      <c r="C148" s="2" t="s">
        <v>7</v>
      </c>
      <c r="D148" s="5">
        <v>0.632795833333333</v>
      </c>
      <c r="E148">
        <v>1E-3</v>
      </c>
      <c r="F148" s="5">
        <f t="shared" si="4"/>
        <v>0.631795833333333</v>
      </c>
      <c r="G148">
        <f t="shared" si="5"/>
        <v>19.100874999999988</v>
      </c>
    </row>
    <row r="149" spans="1:7">
      <c r="A149" s="1" t="s">
        <v>36</v>
      </c>
      <c r="B149" s="1" t="s">
        <v>37</v>
      </c>
      <c r="C149" s="2" t="s">
        <v>8</v>
      </c>
      <c r="D149" s="5">
        <v>1.0020958333333301</v>
      </c>
      <c r="E149">
        <v>1E-3</v>
      </c>
      <c r="F149" s="5">
        <f t="shared" si="4"/>
        <v>1.0010958333333302</v>
      </c>
      <c r="G149">
        <f t="shared" si="5"/>
        <v>30.179874999999903</v>
      </c>
    </row>
    <row r="150" spans="1:7">
      <c r="A150" s="1" t="s">
        <v>36</v>
      </c>
      <c r="B150" s="1" t="s">
        <v>37</v>
      </c>
      <c r="C150" s="2" t="s">
        <v>10</v>
      </c>
      <c r="D150" s="5">
        <v>0.41679583333333298</v>
      </c>
      <c r="E150">
        <v>1E-3</v>
      </c>
      <c r="F150" s="5">
        <f t="shared" si="4"/>
        <v>0.41579583333333298</v>
      </c>
      <c r="G150">
        <f t="shared" si="5"/>
        <v>12.620874999999991</v>
      </c>
    </row>
    <row r="151" spans="1:7">
      <c r="A151" s="1" t="s">
        <v>36</v>
      </c>
      <c r="B151" s="1" t="s">
        <v>37</v>
      </c>
      <c r="C151" s="2" t="s">
        <v>11</v>
      </c>
      <c r="D151" s="5">
        <v>0.58469583333333297</v>
      </c>
      <c r="E151">
        <v>1E-3</v>
      </c>
      <c r="F151" s="5">
        <f t="shared" si="4"/>
        <v>0.58369583333333297</v>
      </c>
      <c r="G151">
        <f t="shared" si="5"/>
        <v>17.65787499999999</v>
      </c>
    </row>
    <row r="152" spans="1:7">
      <c r="A152" s="1" t="s">
        <v>36</v>
      </c>
      <c r="B152" s="1" t="s">
        <v>37</v>
      </c>
      <c r="C152" s="2" t="s">
        <v>12</v>
      </c>
      <c r="D152" s="5">
        <v>0.66169583333333304</v>
      </c>
      <c r="E152">
        <v>1E-3</v>
      </c>
      <c r="F152" s="5">
        <f t="shared" si="4"/>
        <v>0.66069583333333304</v>
      </c>
      <c r="G152">
        <f t="shared" si="5"/>
        <v>19.967874999999992</v>
      </c>
    </row>
    <row r="153" spans="1:7">
      <c r="A153" s="1" t="s">
        <v>36</v>
      </c>
      <c r="B153" s="1" t="s">
        <v>37</v>
      </c>
      <c r="C153" s="2" t="s">
        <v>14</v>
      </c>
      <c r="D153" s="5">
        <v>0.452395833333333</v>
      </c>
      <c r="E153">
        <v>1E-3</v>
      </c>
      <c r="F153" s="5">
        <f t="shared" si="4"/>
        <v>0.451395833333333</v>
      </c>
      <c r="G153">
        <f t="shared" si="5"/>
        <v>13.688874999999991</v>
      </c>
    </row>
    <row r="154" spans="1:7">
      <c r="A154" s="1" t="s">
        <v>36</v>
      </c>
      <c r="B154" s="1" t="s">
        <v>37</v>
      </c>
      <c r="C154" s="2" t="s">
        <v>15</v>
      </c>
      <c r="D154" s="5">
        <v>0.57959583333333298</v>
      </c>
      <c r="E154">
        <v>1E-3</v>
      </c>
      <c r="F154" s="5">
        <f t="shared" si="4"/>
        <v>0.57859583333333298</v>
      </c>
      <c r="G154">
        <f t="shared" si="5"/>
        <v>17.504874999999991</v>
      </c>
    </row>
    <row r="155" spans="1:7">
      <c r="A155" s="1" t="s">
        <v>36</v>
      </c>
      <c r="B155" s="1" t="s">
        <v>37</v>
      </c>
      <c r="C155" s="2" t="s">
        <v>16</v>
      </c>
      <c r="D155" s="5">
        <v>0.604595833333333</v>
      </c>
      <c r="E155">
        <v>1E-3</v>
      </c>
      <c r="F155" s="5">
        <f t="shared" si="4"/>
        <v>0.603595833333333</v>
      </c>
      <c r="G155">
        <f t="shared" si="5"/>
        <v>18.254874999999991</v>
      </c>
    </row>
    <row r="156" spans="1:7">
      <c r="A156" s="1" t="s">
        <v>36</v>
      </c>
      <c r="B156" s="1" t="s">
        <v>37</v>
      </c>
      <c r="C156" s="2" t="s">
        <v>18</v>
      </c>
      <c r="D156" s="5">
        <v>0.380795833333333</v>
      </c>
      <c r="E156">
        <v>1E-3</v>
      </c>
      <c r="F156" s="5">
        <f t="shared" si="4"/>
        <v>0.379795833333333</v>
      </c>
      <c r="G156">
        <f t="shared" si="5"/>
        <v>11.540874999999989</v>
      </c>
    </row>
    <row r="157" spans="1:7">
      <c r="A157" s="1" t="s">
        <v>36</v>
      </c>
      <c r="B157" s="1" t="s">
        <v>37</v>
      </c>
      <c r="C157" s="2" t="s">
        <v>19</v>
      </c>
      <c r="D157" s="5">
        <v>0.69059583333333296</v>
      </c>
      <c r="E157">
        <v>1E-3</v>
      </c>
      <c r="F157" s="5">
        <f t="shared" si="4"/>
        <v>0.68959583333333296</v>
      </c>
      <c r="G157">
        <f t="shared" si="5"/>
        <v>20.83487499999999</v>
      </c>
    </row>
    <row r="158" spans="1:7">
      <c r="A158" s="1" t="s">
        <v>36</v>
      </c>
      <c r="B158" s="1" t="s">
        <v>37</v>
      </c>
      <c r="C158" s="2" t="s">
        <v>20</v>
      </c>
      <c r="D158" s="5">
        <v>0.58509583333333304</v>
      </c>
      <c r="E158">
        <v>1E-3</v>
      </c>
      <c r="F158" s="5">
        <f t="shared" si="4"/>
        <v>0.58409583333333304</v>
      </c>
      <c r="G158">
        <f t="shared" si="5"/>
        <v>17.66987499999999</v>
      </c>
    </row>
    <row r="159" spans="1:7">
      <c r="A159" s="1" t="s">
        <v>36</v>
      </c>
      <c r="B159" s="1" t="s">
        <v>37</v>
      </c>
      <c r="C159" s="2" t="s">
        <v>22</v>
      </c>
      <c r="D159" s="5">
        <v>0.625795833333333</v>
      </c>
      <c r="E159">
        <v>1E-3</v>
      </c>
      <c r="F159" s="5">
        <f t="shared" si="4"/>
        <v>0.62479583333333299</v>
      </c>
      <c r="G159">
        <f t="shared" si="5"/>
        <v>18.890874999999991</v>
      </c>
    </row>
    <row r="160" spans="1:7">
      <c r="A160" s="1" t="s">
        <v>36</v>
      </c>
      <c r="B160" s="1" t="s">
        <v>37</v>
      </c>
      <c r="C160" s="2" t="s">
        <v>23</v>
      </c>
      <c r="D160" s="5">
        <v>0.582395833333333</v>
      </c>
      <c r="E160">
        <v>1E-3</v>
      </c>
      <c r="F160" s="5">
        <f t="shared" si="4"/>
        <v>0.581395833333333</v>
      </c>
      <c r="G160">
        <f t="shared" si="5"/>
        <v>17.588874999999991</v>
      </c>
    </row>
    <row r="161" spans="1:7">
      <c r="A161" s="1" t="s">
        <v>36</v>
      </c>
      <c r="B161" s="1" t="s">
        <v>37</v>
      </c>
      <c r="C161" s="2" t="s">
        <v>24</v>
      </c>
      <c r="D161" s="5">
        <v>0.484095833333333</v>
      </c>
      <c r="E161">
        <v>1E-3</v>
      </c>
      <c r="F161" s="5">
        <f t="shared" si="4"/>
        <v>0.483095833333333</v>
      </c>
      <c r="G161">
        <f t="shared" si="5"/>
        <v>14.639874999999991</v>
      </c>
    </row>
    <row r="162" spans="1:7">
      <c r="A162" s="1" t="s">
        <v>36</v>
      </c>
      <c r="B162" s="1" t="s">
        <v>37</v>
      </c>
      <c r="C162" s="2" t="s">
        <v>26</v>
      </c>
      <c r="D162" s="5">
        <v>0.42429583333333298</v>
      </c>
      <c r="E162">
        <v>1E-3</v>
      </c>
      <c r="F162" s="5">
        <f t="shared" si="4"/>
        <v>0.42329583333333298</v>
      </c>
      <c r="G162">
        <f t="shared" si="5"/>
        <v>12.845874999999991</v>
      </c>
    </row>
    <row r="163" spans="1:7">
      <c r="A163" s="1" t="s">
        <v>36</v>
      </c>
      <c r="B163" s="1" t="s">
        <v>37</v>
      </c>
      <c r="C163" s="2" t="s">
        <v>27</v>
      </c>
      <c r="D163" s="5">
        <v>0.37739583333333299</v>
      </c>
      <c r="E163">
        <v>1E-3</v>
      </c>
      <c r="F163" s="5">
        <f t="shared" si="4"/>
        <v>0.37639583333333299</v>
      </c>
      <c r="G163">
        <f t="shared" si="5"/>
        <v>11.438874999999989</v>
      </c>
    </row>
    <row r="164" spans="1:7">
      <c r="A164" s="1" t="s">
        <v>36</v>
      </c>
      <c r="B164" s="1" t="s">
        <v>38</v>
      </c>
      <c r="C164" s="2" t="s">
        <v>4</v>
      </c>
      <c r="D164" s="5">
        <v>0.36489583333333298</v>
      </c>
      <c r="E164">
        <v>1E-3</v>
      </c>
      <c r="F164" s="5">
        <f t="shared" si="4"/>
        <v>0.36389583333333297</v>
      </c>
      <c r="G164">
        <f t="shared" si="5"/>
        <v>11.063874999999991</v>
      </c>
    </row>
    <row r="165" spans="1:7">
      <c r="A165" s="1" t="s">
        <v>36</v>
      </c>
      <c r="B165" s="1" t="s">
        <v>38</v>
      </c>
      <c r="C165" s="2" t="s">
        <v>6</v>
      </c>
      <c r="D165" s="5">
        <v>0.46669583333333298</v>
      </c>
      <c r="E165">
        <v>1E-3</v>
      </c>
      <c r="F165" s="5">
        <f t="shared" si="4"/>
        <v>0.46569583333333298</v>
      </c>
      <c r="G165">
        <f t="shared" si="5"/>
        <v>14.117874999999987</v>
      </c>
    </row>
    <row r="166" spans="1:7">
      <c r="A166" s="1" t="s">
        <v>36</v>
      </c>
      <c r="B166" s="1" t="s">
        <v>38</v>
      </c>
      <c r="C166" s="2" t="s">
        <v>7</v>
      </c>
      <c r="D166" s="5">
        <v>0.39799583333333299</v>
      </c>
      <c r="E166">
        <v>1E-3</v>
      </c>
      <c r="F166" s="5">
        <f t="shared" si="4"/>
        <v>0.39699583333333299</v>
      </c>
      <c r="G166">
        <f t="shared" si="5"/>
        <v>12.056874999999989</v>
      </c>
    </row>
    <row r="167" spans="1:7">
      <c r="A167" s="1" t="s">
        <v>36</v>
      </c>
      <c r="B167" s="1" t="s">
        <v>38</v>
      </c>
      <c r="C167" s="2" t="s">
        <v>8</v>
      </c>
      <c r="D167" s="5">
        <v>0.25089583333333298</v>
      </c>
      <c r="E167">
        <v>1E-3</v>
      </c>
      <c r="F167" s="5">
        <f t="shared" si="4"/>
        <v>0.24989583333333298</v>
      </c>
      <c r="G167">
        <f t="shared" si="5"/>
        <v>7.6438749999999906</v>
      </c>
    </row>
    <row r="168" spans="1:7">
      <c r="A168" s="1" t="s">
        <v>36</v>
      </c>
      <c r="B168" s="1" t="s">
        <v>38</v>
      </c>
      <c r="C168" s="2" t="s">
        <v>10</v>
      </c>
      <c r="D168" s="5">
        <v>0.27129583333333301</v>
      </c>
      <c r="E168">
        <v>1E-3</v>
      </c>
      <c r="F168" s="5">
        <f t="shared" si="4"/>
        <v>0.27029583333333301</v>
      </c>
      <c r="G168">
        <f t="shared" si="5"/>
        <v>8.2558749999999907</v>
      </c>
    </row>
    <row r="169" spans="1:7">
      <c r="A169" s="1" t="s">
        <v>36</v>
      </c>
      <c r="B169" s="1" t="s">
        <v>38</v>
      </c>
      <c r="C169" s="2" t="s">
        <v>11</v>
      </c>
      <c r="D169" s="5">
        <v>0.250795833333333</v>
      </c>
      <c r="E169">
        <v>1E-3</v>
      </c>
      <c r="F169" s="5">
        <f t="shared" si="4"/>
        <v>0.24979583333333299</v>
      </c>
      <c r="G169">
        <f t="shared" si="5"/>
        <v>7.6408749999999896</v>
      </c>
    </row>
    <row r="170" spans="1:7">
      <c r="A170" s="1" t="s">
        <v>36</v>
      </c>
      <c r="B170" s="1" t="s">
        <v>38</v>
      </c>
      <c r="C170" s="2" t="s">
        <v>12</v>
      </c>
      <c r="D170" s="5">
        <v>0.38369583333333301</v>
      </c>
      <c r="E170">
        <v>1E-3</v>
      </c>
      <c r="F170" s="5">
        <f t="shared" si="4"/>
        <v>0.38269583333333301</v>
      </c>
      <c r="G170">
        <f t="shared" si="5"/>
        <v>11.627874999999992</v>
      </c>
    </row>
    <row r="171" spans="1:7">
      <c r="A171" s="1" t="s">
        <v>36</v>
      </c>
      <c r="B171" s="1" t="s">
        <v>38</v>
      </c>
      <c r="C171" s="2" t="s">
        <v>14</v>
      </c>
      <c r="D171" s="5">
        <v>0.42069583333333299</v>
      </c>
      <c r="E171">
        <v>1E-3</v>
      </c>
      <c r="F171" s="5">
        <f t="shared" si="4"/>
        <v>0.41969583333333299</v>
      </c>
      <c r="G171">
        <f t="shared" si="5"/>
        <v>12.737874999999992</v>
      </c>
    </row>
    <row r="172" spans="1:7">
      <c r="A172" s="1" t="s">
        <v>36</v>
      </c>
      <c r="B172" s="1" t="s">
        <v>38</v>
      </c>
      <c r="C172" s="2" t="s">
        <v>15</v>
      </c>
      <c r="D172" s="5">
        <v>0.37559583333333302</v>
      </c>
      <c r="E172">
        <v>1E-3</v>
      </c>
      <c r="F172" s="5">
        <f t="shared" si="4"/>
        <v>0.37459583333333302</v>
      </c>
      <c r="G172">
        <f t="shared" si="5"/>
        <v>11.38487499999999</v>
      </c>
    </row>
    <row r="173" spans="1:7">
      <c r="A173" s="1" t="s">
        <v>36</v>
      </c>
      <c r="B173" s="1" t="s">
        <v>38</v>
      </c>
      <c r="C173" s="2" t="s">
        <v>16</v>
      </c>
      <c r="D173" s="5">
        <v>0.31529545454545499</v>
      </c>
      <c r="E173">
        <v>1E-3</v>
      </c>
      <c r="F173" s="5">
        <f t="shared" si="4"/>
        <v>0.31429545454545499</v>
      </c>
      <c r="G173">
        <f t="shared" si="5"/>
        <v>9.5758636363636498</v>
      </c>
    </row>
    <row r="174" spans="1:7">
      <c r="A174" s="1" t="s">
        <v>36</v>
      </c>
      <c r="B174" s="1" t="s">
        <v>38</v>
      </c>
      <c r="C174" s="2" t="s">
        <v>18</v>
      </c>
      <c r="D174" s="5">
        <v>0.26579583333333301</v>
      </c>
      <c r="E174">
        <v>1E-3</v>
      </c>
      <c r="F174" s="5">
        <f t="shared" si="4"/>
        <v>0.26479583333333301</v>
      </c>
      <c r="G174">
        <f t="shared" si="5"/>
        <v>8.0908749999999898</v>
      </c>
    </row>
    <row r="175" spans="1:7">
      <c r="A175" s="1" t="s">
        <v>36</v>
      </c>
      <c r="B175" s="1" t="s">
        <v>38</v>
      </c>
      <c r="C175" s="2" t="s">
        <v>19</v>
      </c>
      <c r="D175" s="5">
        <v>0.29349583333333301</v>
      </c>
      <c r="E175">
        <v>1E-3</v>
      </c>
      <c r="F175" s="5">
        <f t="shared" si="4"/>
        <v>0.29249583333333301</v>
      </c>
      <c r="G175">
        <f t="shared" si="5"/>
        <v>8.9218749999999911</v>
      </c>
    </row>
    <row r="176" spans="1:7">
      <c r="A176" s="1" t="s">
        <v>36</v>
      </c>
      <c r="B176" s="1" t="s">
        <v>38</v>
      </c>
      <c r="C176" s="2" t="s">
        <v>20</v>
      </c>
      <c r="D176" s="5">
        <v>0.27959583333333299</v>
      </c>
      <c r="E176">
        <v>1E-3</v>
      </c>
      <c r="F176" s="5">
        <f t="shared" si="4"/>
        <v>0.27859583333333299</v>
      </c>
      <c r="G176">
        <f t="shared" si="5"/>
        <v>8.5048749999999895</v>
      </c>
    </row>
    <row r="177" spans="1:7">
      <c r="A177" s="1" t="s">
        <v>36</v>
      </c>
      <c r="B177" s="1" t="s">
        <v>38</v>
      </c>
      <c r="C177" s="2" t="s">
        <v>22</v>
      </c>
      <c r="D177" s="5">
        <v>0.30299583333333302</v>
      </c>
      <c r="E177">
        <v>1E-3</v>
      </c>
      <c r="F177" s="5">
        <f t="shared" si="4"/>
        <v>0.30199583333333302</v>
      </c>
      <c r="G177">
        <f t="shared" si="5"/>
        <v>9.2068749999999913</v>
      </c>
    </row>
    <row r="178" spans="1:7">
      <c r="A178" s="1" t="s">
        <v>36</v>
      </c>
      <c r="B178" s="1" t="s">
        <v>38</v>
      </c>
      <c r="C178" s="2" t="s">
        <v>23</v>
      </c>
      <c r="D178" s="5">
        <v>0.30889583333333298</v>
      </c>
      <c r="E178">
        <v>1E-3</v>
      </c>
      <c r="F178" s="5">
        <f t="shared" si="4"/>
        <v>0.30789583333333298</v>
      </c>
      <c r="G178">
        <f t="shared" si="5"/>
        <v>9.3838749999999909</v>
      </c>
    </row>
    <row r="179" spans="1:7">
      <c r="A179" s="1" t="s">
        <v>36</v>
      </c>
      <c r="B179" s="1" t="s">
        <v>38</v>
      </c>
      <c r="C179" s="2" t="s">
        <v>24</v>
      </c>
      <c r="D179" s="5">
        <v>0.23269583333333299</v>
      </c>
      <c r="E179">
        <v>1E-3</v>
      </c>
      <c r="F179" s="5">
        <f t="shared" si="4"/>
        <v>0.23169583333333299</v>
      </c>
      <c r="G179">
        <f t="shared" si="5"/>
        <v>7.0978749999999895</v>
      </c>
    </row>
    <row r="180" spans="1:7">
      <c r="A180" s="1" t="s">
        <v>36</v>
      </c>
      <c r="B180" s="1" t="s">
        <v>38</v>
      </c>
      <c r="C180" s="2" t="s">
        <v>26</v>
      </c>
      <c r="D180" s="5">
        <v>0.31359583333333302</v>
      </c>
      <c r="E180">
        <v>1E-3</v>
      </c>
      <c r="F180" s="5">
        <f t="shared" si="4"/>
        <v>0.31259583333333302</v>
      </c>
      <c r="G180">
        <f t="shared" si="5"/>
        <v>9.5248749999999927</v>
      </c>
    </row>
    <row r="181" spans="1:7">
      <c r="A181" s="1" t="s">
        <v>36</v>
      </c>
      <c r="B181" s="1" t="s">
        <v>38</v>
      </c>
      <c r="C181" s="2" t="s">
        <v>27</v>
      </c>
      <c r="D181" s="5">
        <v>0.42579583333333298</v>
      </c>
      <c r="E181">
        <v>1E-3</v>
      </c>
      <c r="F181" s="5">
        <f t="shared" si="4"/>
        <v>0.42479583333333298</v>
      </c>
      <c r="G181">
        <f t="shared" si="5"/>
        <v>12.890874999999991</v>
      </c>
    </row>
    <row r="182" spans="1:7">
      <c r="A182" s="1" t="s">
        <v>36</v>
      </c>
      <c r="B182" s="1" t="s">
        <v>39</v>
      </c>
      <c r="C182" s="2" t="s">
        <v>4</v>
      </c>
      <c r="D182" s="5">
        <v>0.37535416666666699</v>
      </c>
      <c r="E182">
        <v>1E-3</v>
      </c>
      <c r="F182" s="5">
        <f t="shared" si="4"/>
        <v>0.37435416666666699</v>
      </c>
      <c r="G182">
        <f t="shared" si="5"/>
        <v>11.377625000000011</v>
      </c>
    </row>
    <row r="183" spans="1:7">
      <c r="A183" s="1" t="s">
        <v>36</v>
      </c>
      <c r="B183" s="1" t="s">
        <v>39</v>
      </c>
      <c r="C183" s="2" t="s">
        <v>6</v>
      </c>
      <c r="D183" s="5">
        <v>0.48955416666666701</v>
      </c>
      <c r="E183">
        <v>1E-3</v>
      </c>
      <c r="F183" s="5">
        <f t="shared" si="4"/>
        <v>0.48855416666666701</v>
      </c>
      <c r="G183">
        <f t="shared" si="5"/>
        <v>14.803625000000009</v>
      </c>
    </row>
    <row r="184" spans="1:7">
      <c r="A184" s="1" t="s">
        <v>36</v>
      </c>
      <c r="B184" s="1" t="s">
        <v>39</v>
      </c>
      <c r="C184" s="2" t="s">
        <v>7</v>
      </c>
      <c r="D184" s="5">
        <v>0.54015416666666705</v>
      </c>
      <c r="E184">
        <v>1E-3</v>
      </c>
      <c r="F184" s="5">
        <f t="shared" si="4"/>
        <v>0.53915416666666705</v>
      </c>
      <c r="G184">
        <f t="shared" si="5"/>
        <v>16.321625000000012</v>
      </c>
    </row>
    <row r="185" spans="1:7">
      <c r="A185" s="1" t="s">
        <v>36</v>
      </c>
      <c r="B185" s="1" t="s">
        <v>39</v>
      </c>
      <c r="C185" s="2" t="s">
        <v>8</v>
      </c>
      <c r="D185" s="5">
        <v>0.26895416666666699</v>
      </c>
      <c r="E185">
        <v>1E-3</v>
      </c>
      <c r="F185" s="5">
        <f t="shared" si="4"/>
        <v>0.26795416666666699</v>
      </c>
      <c r="G185">
        <f t="shared" si="5"/>
        <v>8.1856250000000106</v>
      </c>
    </row>
    <row r="186" spans="1:7">
      <c r="A186" s="1" t="s">
        <v>36</v>
      </c>
      <c r="B186" s="1" t="s">
        <v>39</v>
      </c>
      <c r="C186" s="2" t="s">
        <v>10</v>
      </c>
      <c r="D186" s="5">
        <v>0.51705416666666704</v>
      </c>
      <c r="E186">
        <v>1E-3</v>
      </c>
      <c r="F186" s="5">
        <f t="shared" si="4"/>
        <v>0.51605416666666704</v>
      </c>
      <c r="G186">
        <f t="shared" si="5"/>
        <v>15.628625000000012</v>
      </c>
    </row>
    <row r="187" spans="1:7">
      <c r="A187" s="1" t="s">
        <v>36</v>
      </c>
      <c r="B187" s="1" t="s">
        <v>39</v>
      </c>
      <c r="C187" s="2" t="s">
        <v>11</v>
      </c>
      <c r="D187" s="5">
        <v>0.51405416666666703</v>
      </c>
      <c r="E187">
        <v>1E-3</v>
      </c>
      <c r="F187" s="5">
        <f t="shared" si="4"/>
        <v>0.51305416666666703</v>
      </c>
      <c r="G187">
        <f t="shared" si="5"/>
        <v>15.538625000000012</v>
      </c>
    </row>
    <row r="188" spans="1:7">
      <c r="A188" s="1" t="s">
        <v>36</v>
      </c>
      <c r="B188" s="1" t="s">
        <v>39</v>
      </c>
      <c r="C188" s="2" t="s">
        <v>12</v>
      </c>
      <c r="D188" s="5">
        <v>0.44555416666666697</v>
      </c>
      <c r="E188">
        <v>1E-3</v>
      </c>
      <c r="F188" s="5">
        <f t="shared" si="4"/>
        <v>0.44455416666666697</v>
      </c>
      <c r="G188">
        <f t="shared" si="5"/>
        <v>13.483625000000011</v>
      </c>
    </row>
    <row r="189" spans="1:7">
      <c r="A189" s="1" t="s">
        <v>36</v>
      </c>
      <c r="B189" s="1" t="s">
        <v>39</v>
      </c>
      <c r="C189" s="2" t="s">
        <v>14</v>
      </c>
      <c r="D189" s="5">
        <v>0.31195416666666698</v>
      </c>
      <c r="E189">
        <v>1E-3</v>
      </c>
      <c r="F189" s="5">
        <f t="shared" si="4"/>
        <v>0.31095416666666698</v>
      </c>
      <c r="G189">
        <f t="shared" si="5"/>
        <v>9.4756250000000097</v>
      </c>
    </row>
    <row r="190" spans="1:7">
      <c r="A190" s="1" t="s">
        <v>36</v>
      </c>
      <c r="B190" s="1" t="s">
        <v>39</v>
      </c>
      <c r="C190" s="2" t="s">
        <v>15</v>
      </c>
      <c r="D190" s="5">
        <v>0.47115416666666698</v>
      </c>
      <c r="E190">
        <v>1E-3</v>
      </c>
      <c r="F190" s="5">
        <f t="shared" si="4"/>
        <v>0.47015416666666698</v>
      </c>
      <c r="G190">
        <f t="shared" si="5"/>
        <v>14.25162500000001</v>
      </c>
    </row>
    <row r="191" spans="1:7">
      <c r="A191" s="1" t="s">
        <v>36</v>
      </c>
      <c r="B191" s="1" t="s">
        <v>39</v>
      </c>
      <c r="C191" s="2" t="s">
        <v>16</v>
      </c>
      <c r="D191" s="5">
        <v>0.26455416666666698</v>
      </c>
      <c r="E191">
        <v>1E-3</v>
      </c>
      <c r="F191" s="5">
        <f t="shared" si="4"/>
        <v>0.26355416666666698</v>
      </c>
      <c r="G191">
        <f t="shared" si="5"/>
        <v>8.0536250000000109</v>
      </c>
    </row>
    <row r="192" spans="1:7">
      <c r="A192" s="1" t="s">
        <v>36</v>
      </c>
      <c r="B192" s="1" t="s">
        <v>39</v>
      </c>
      <c r="C192" s="2" t="s">
        <v>18</v>
      </c>
      <c r="D192" s="5">
        <v>0.421154166666667</v>
      </c>
      <c r="E192">
        <v>1E-3</v>
      </c>
      <c r="F192" s="5">
        <f t="shared" si="4"/>
        <v>0.42015416666666699</v>
      </c>
      <c r="G192">
        <f t="shared" si="5"/>
        <v>12.751625000000011</v>
      </c>
    </row>
    <row r="193" spans="1:7">
      <c r="A193" s="1" t="s">
        <v>36</v>
      </c>
      <c r="B193" s="1" t="s">
        <v>39</v>
      </c>
      <c r="C193" s="2" t="s">
        <v>19</v>
      </c>
      <c r="D193" s="5">
        <v>0.45225416666666701</v>
      </c>
      <c r="E193">
        <v>1E-3</v>
      </c>
      <c r="F193" s="5">
        <f t="shared" si="4"/>
        <v>0.45125416666666701</v>
      </c>
      <c r="G193">
        <f t="shared" si="5"/>
        <v>13.684625000000011</v>
      </c>
    </row>
    <row r="194" spans="1:7">
      <c r="A194" s="1" t="s">
        <v>36</v>
      </c>
      <c r="B194" s="1" t="s">
        <v>39</v>
      </c>
      <c r="C194" s="2" t="s">
        <v>20</v>
      </c>
      <c r="D194" s="5">
        <v>0.41509545454545499</v>
      </c>
      <c r="E194">
        <v>1E-3</v>
      </c>
      <c r="F194" s="5">
        <f t="shared" si="4"/>
        <v>0.41409545454545499</v>
      </c>
      <c r="G194">
        <f t="shared" si="5"/>
        <v>12.56986363636365</v>
      </c>
    </row>
    <row r="195" spans="1:7">
      <c r="A195" s="1" t="s">
        <v>36</v>
      </c>
      <c r="B195" s="1" t="s">
        <v>39</v>
      </c>
      <c r="C195" s="2" t="s">
        <v>22</v>
      </c>
      <c r="D195" s="5">
        <v>0.50045416666666698</v>
      </c>
      <c r="E195">
        <v>1E-3</v>
      </c>
      <c r="F195" s="5">
        <f t="shared" ref="F195:F258" si="6">D195-E195</f>
        <v>0.49945416666666698</v>
      </c>
      <c r="G195">
        <f t="shared" ref="G195:G258" si="7">0.6*(F195+0.0049)*1.5/0.03</f>
        <v>15.130625000000009</v>
      </c>
    </row>
    <row r="196" spans="1:7">
      <c r="A196" s="1" t="s">
        <v>36</v>
      </c>
      <c r="B196" s="1" t="s">
        <v>39</v>
      </c>
      <c r="C196" s="2" t="s">
        <v>23</v>
      </c>
      <c r="D196" s="5">
        <v>0.43795416666666698</v>
      </c>
      <c r="E196">
        <v>1E-3</v>
      </c>
      <c r="F196" s="5">
        <f t="shared" si="6"/>
        <v>0.43695416666666698</v>
      </c>
      <c r="G196">
        <f t="shared" si="7"/>
        <v>13.255625000000011</v>
      </c>
    </row>
    <row r="197" spans="1:7">
      <c r="A197" s="1" t="s">
        <v>36</v>
      </c>
      <c r="B197" s="1" t="s">
        <v>39</v>
      </c>
      <c r="C197" s="2" t="s">
        <v>24</v>
      </c>
      <c r="D197" s="5">
        <v>0.34115416666666698</v>
      </c>
      <c r="E197">
        <v>1E-3</v>
      </c>
      <c r="F197" s="5">
        <f t="shared" si="6"/>
        <v>0.34015416666666698</v>
      </c>
      <c r="G197">
        <f t="shared" si="7"/>
        <v>10.351625000000011</v>
      </c>
    </row>
    <row r="198" spans="1:7">
      <c r="A198" s="1" t="s">
        <v>36</v>
      </c>
      <c r="B198" s="1" t="s">
        <v>39</v>
      </c>
      <c r="C198" s="2" t="s">
        <v>26</v>
      </c>
      <c r="D198" s="5">
        <v>0.380254166666667</v>
      </c>
      <c r="E198">
        <v>1E-3</v>
      </c>
      <c r="F198" s="5">
        <f t="shared" si="6"/>
        <v>0.379254166666667</v>
      </c>
      <c r="G198">
        <f t="shared" si="7"/>
        <v>11.524625000000011</v>
      </c>
    </row>
    <row r="199" spans="1:7">
      <c r="A199" s="1" t="s">
        <v>36</v>
      </c>
      <c r="B199" s="1" t="s">
        <v>39</v>
      </c>
      <c r="C199" s="2" t="s">
        <v>27</v>
      </c>
      <c r="D199" s="5">
        <v>0.54895416666666697</v>
      </c>
      <c r="E199">
        <v>1E-3</v>
      </c>
      <c r="F199" s="5">
        <f t="shared" si="6"/>
        <v>0.54795416666666696</v>
      </c>
      <c r="G199">
        <f t="shared" si="7"/>
        <v>16.585625000000011</v>
      </c>
    </row>
    <row r="200" spans="1:7">
      <c r="A200" s="1" t="s">
        <v>36</v>
      </c>
      <c r="B200" s="1" t="s">
        <v>40</v>
      </c>
      <c r="C200" s="2" t="s">
        <v>4</v>
      </c>
      <c r="D200" s="5">
        <v>0.29835416666666698</v>
      </c>
      <c r="E200">
        <v>1E-3</v>
      </c>
      <c r="F200" s="5">
        <f t="shared" si="6"/>
        <v>0.29735416666666697</v>
      </c>
      <c r="G200">
        <f t="shared" si="7"/>
        <v>9.0676250000000085</v>
      </c>
    </row>
    <row r="201" spans="1:7">
      <c r="A201" s="1" t="s">
        <v>36</v>
      </c>
      <c r="B201" s="1" t="s">
        <v>40</v>
      </c>
      <c r="C201" s="2" t="s">
        <v>6</v>
      </c>
      <c r="D201" s="5">
        <v>0.32545416666666699</v>
      </c>
      <c r="E201">
        <v>1E-3</v>
      </c>
      <c r="F201" s="5">
        <f t="shared" si="6"/>
        <v>0.32445416666666699</v>
      </c>
      <c r="G201">
        <f t="shared" si="7"/>
        <v>9.8806250000000091</v>
      </c>
    </row>
    <row r="202" spans="1:7">
      <c r="A202" s="1" t="s">
        <v>36</v>
      </c>
      <c r="B202" s="1" t="s">
        <v>40</v>
      </c>
      <c r="C202" s="2" t="s">
        <v>7</v>
      </c>
      <c r="D202" s="5">
        <v>0.33555416666666699</v>
      </c>
      <c r="E202">
        <v>1E-3</v>
      </c>
      <c r="F202" s="5">
        <f t="shared" si="6"/>
        <v>0.33455416666666699</v>
      </c>
      <c r="G202">
        <f t="shared" si="7"/>
        <v>10.183625000000012</v>
      </c>
    </row>
    <row r="203" spans="1:7">
      <c r="A203" s="1" t="s">
        <v>36</v>
      </c>
      <c r="B203" s="1" t="s">
        <v>40</v>
      </c>
      <c r="C203" s="2" t="s">
        <v>8</v>
      </c>
      <c r="D203" s="5">
        <v>0.28665416666666699</v>
      </c>
      <c r="E203">
        <v>1E-3</v>
      </c>
      <c r="F203" s="5">
        <f t="shared" si="6"/>
        <v>0.28565416666666699</v>
      </c>
      <c r="G203">
        <f t="shared" si="7"/>
        <v>8.7166250000000094</v>
      </c>
    </row>
    <row r="204" spans="1:7">
      <c r="A204" s="1" t="s">
        <v>36</v>
      </c>
      <c r="B204" s="1" t="s">
        <v>40</v>
      </c>
      <c r="C204" s="2" t="s">
        <v>10</v>
      </c>
      <c r="D204" s="5">
        <v>0.31835416666666699</v>
      </c>
      <c r="E204">
        <v>1E-3</v>
      </c>
      <c r="F204" s="5">
        <f t="shared" si="6"/>
        <v>0.31735416666666699</v>
      </c>
      <c r="G204">
        <f t="shared" si="7"/>
        <v>9.6676250000000099</v>
      </c>
    </row>
    <row r="205" spans="1:7">
      <c r="A205" s="1" t="s">
        <v>36</v>
      </c>
      <c r="B205" s="1" t="s">
        <v>40</v>
      </c>
      <c r="C205" s="2" t="s">
        <v>11</v>
      </c>
      <c r="D205" s="5">
        <v>0.29185416666666703</v>
      </c>
      <c r="E205">
        <v>1E-3</v>
      </c>
      <c r="F205" s="5">
        <f t="shared" si="6"/>
        <v>0.29085416666666702</v>
      </c>
      <c r="G205">
        <f t="shared" si="7"/>
        <v>8.87262500000001</v>
      </c>
    </row>
    <row r="206" spans="1:7">
      <c r="A206" s="1" t="s">
        <v>36</v>
      </c>
      <c r="B206" s="1" t="s">
        <v>40</v>
      </c>
      <c r="C206" s="2" t="s">
        <v>12</v>
      </c>
      <c r="D206" s="5">
        <v>0.33245416666666699</v>
      </c>
      <c r="E206">
        <v>1E-3</v>
      </c>
      <c r="F206" s="5">
        <f t="shared" si="6"/>
        <v>0.33145416666666699</v>
      </c>
      <c r="G206">
        <f t="shared" si="7"/>
        <v>10.090625000000012</v>
      </c>
    </row>
    <row r="207" spans="1:7">
      <c r="A207" s="1" t="s">
        <v>36</v>
      </c>
      <c r="B207" s="1" t="s">
        <v>40</v>
      </c>
      <c r="C207" s="2" t="s">
        <v>14</v>
      </c>
      <c r="D207" s="5">
        <v>0.42325416666666699</v>
      </c>
      <c r="E207">
        <v>1E-3</v>
      </c>
      <c r="F207" s="5">
        <f t="shared" si="6"/>
        <v>0.42225416666666699</v>
      </c>
      <c r="G207">
        <f t="shared" si="7"/>
        <v>12.81462500000001</v>
      </c>
    </row>
    <row r="208" spans="1:7">
      <c r="A208" s="1" t="s">
        <v>36</v>
      </c>
      <c r="B208" s="1" t="s">
        <v>40</v>
      </c>
      <c r="C208" s="2" t="s">
        <v>15</v>
      </c>
      <c r="D208" s="5">
        <v>0.48325416666666698</v>
      </c>
      <c r="E208">
        <v>1E-3</v>
      </c>
      <c r="F208" s="5">
        <f t="shared" si="6"/>
        <v>0.48225416666666698</v>
      </c>
      <c r="G208">
        <f t="shared" si="7"/>
        <v>14.614625000000009</v>
      </c>
    </row>
    <row r="209" spans="1:7">
      <c r="A209" s="1" t="s">
        <v>36</v>
      </c>
      <c r="B209" s="1" t="s">
        <v>40</v>
      </c>
      <c r="C209" s="2" t="s">
        <v>16</v>
      </c>
      <c r="D209" s="5">
        <v>0.60695416666666702</v>
      </c>
      <c r="E209">
        <v>1E-3</v>
      </c>
      <c r="F209" s="5">
        <f t="shared" si="6"/>
        <v>0.60595416666666702</v>
      </c>
      <c r="G209">
        <f t="shared" si="7"/>
        <v>18.325625000000009</v>
      </c>
    </row>
    <row r="210" spans="1:7">
      <c r="A210" s="1" t="s">
        <v>36</v>
      </c>
      <c r="B210" s="1" t="s">
        <v>40</v>
      </c>
      <c r="C210" s="2" t="s">
        <v>18</v>
      </c>
      <c r="D210" s="5">
        <v>0.59045416666666695</v>
      </c>
      <c r="E210">
        <v>1E-3</v>
      </c>
      <c r="F210" s="5">
        <f t="shared" si="6"/>
        <v>0.58945416666666695</v>
      </c>
      <c r="G210">
        <f t="shared" si="7"/>
        <v>17.830625000000008</v>
      </c>
    </row>
    <row r="211" spans="1:7">
      <c r="A211" s="1" t="s">
        <v>36</v>
      </c>
      <c r="B211" s="1" t="s">
        <v>40</v>
      </c>
      <c r="C211" s="2" t="s">
        <v>19</v>
      </c>
      <c r="D211" s="5">
        <v>0.615154166666667</v>
      </c>
      <c r="E211">
        <v>1E-3</v>
      </c>
      <c r="F211" s="5">
        <f t="shared" si="6"/>
        <v>0.614154166666667</v>
      </c>
      <c r="G211">
        <f t="shared" si="7"/>
        <v>18.571625000000012</v>
      </c>
    </row>
    <row r="212" spans="1:7">
      <c r="A212" s="1" t="s">
        <v>36</v>
      </c>
      <c r="B212" s="1" t="s">
        <v>40</v>
      </c>
      <c r="C212" s="2" t="s">
        <v>20</v>
      </c>
      <c r="D212" s="5">
        <v>0.54545416666666702</v>
      </c>
      <c r="E212">
        <v>1E-3</v>
      </c>
      <c r="F212" s="5">
        <f t="shared" si="6"/>
        <v>0.54445416666666702</v>
      </c>
      <c r="G212">
        <f t="shared" si="7"/>
        <v>16.480625000000011</v>
      </c>
    </row>
    <row r="213" spans="1:7">
      <c r="A213" s="1" t="s">
        <v>36</v>
      </c>
      <c r="B213" s="1" t="s">
        <v>40</v>
      </c>
      <c r="C213" s="2" t="s">
        <v>22</v>
      </c>
      <c r="D213" s="5">
        <v>0.48125416666666698</v>
      </c>
      <c r="E213">
        <v>1E-3</v>
      </c>
      <c r="F213" s="5">
        <f t="shared" si="6"/>
        <v>0.48025416666666698</v>
      </c>
      <c r="G213">
        <f t="shared" si="7"/>
        <v>14.55462500000001</v>
      </c>
    </row>
    <row r="214" spans="1:7">
      <c r="A214" s="1" t="s">
        <v>36</v>
      </c>
      <c r="B214" s="1" t="s">
        <v>40</v>
      </c>
      <c r="C214" s="2" t="s">
        <v>23</v>
      </c>
      <c r="D214" s="5">
        <v>0.38135416666666699</v>
      </c>
      <c r="E214">
        <v>1E-3</v>
      </c>
      <c r="F214" s="5">
        <f t="shared" si="6"/>
        <v>0.38035416666666699</v>
      </c>
      <c r="G214">
        <f t="shared" si="7"/>
        <v>11.55762500000001</v>
      </c>
    </row>
    <row r="215" spans="1:7">
      <c r="A215" s="1" t="s">
        <v>36</v>
      </c>
      <c r="B215" s="1" t="s">
        <v>40</v>
      </c>
      <c r="C215" s="2" t="s">
        <v>24</v>
      </c>
      <c r="D215" s="5">
        <v>0.38495416666666699</v>
      </c>
      <c r="E215">
        <v>1E-3</v>
      </c>
      <c r="F215" s="5">
        <f t="shared" si="6"/>
        <v>0.38395416666666699</v>
      </c>
      <c r="G215">
        <f t="shared" si="7"/>
        <v>11.665625000000009</v>
      </c>
    </row>
    <row r="216" spans="1:7">
      <c r="A216" s="1" t="s">
        <v>36</v>
      </c>
      <c r="B216" s="1" t="s">
        <v>40</v>
      </c>
      <c r="C216" s="2" t="s">
        <v>26</v>
      </c>
      <c r="D216" s="5">
        <v>0.349054166666667</v>
      </c>
      <c r="E216">
        <v>1E-3</v>
      </c>
      <c r="F216" s="5">
        <f t="shared" si="6"/>
        <v>0.348054166666667</v>
      </c>
      <c r="G216">
        <f t="shared" si="7"/>
        <v>10.588625000000011</v>
      </c>
    </row>
    <row r="217" spans="1:7">
      <c r="A217" s="1" t="s">
        <v>36</v>
      </c>
      <c r="B217" s="1" t="s">
        <v>40</v>
      </c>
      <c r="C217" s="2" t="s">
        <v>27</v>
      </c>
      <c r="D217" s="5">
        <v>0.44505416666666697</v>
      </c>
      <c r="E217">
        <v>1E-3</v>
      </c>
      <c r="F217" s="5">
        <f t="shared" si="6"/>
        <v>0.44405416666666697</v>
      </c>
      <c r="G217">
        <f t="shared" si="7"/>
        <v>13.468625000000008</v>
      </c>
    </row>
    <row r="218" spans="1:7">
      <c r="A218" s="1" t="s">
        <v>36</v>
      </c>
      <c r="B218" s="1" t="s">
        <v>41</v>
      </c>
      <c r="C218" s="2" t="s">
        <v>4</v>
      </c>
      <c r="D218" s="5">
        <v>0.72689999999999999</v>
      </c>
      <c r="E218">
        <v>1E-3</v>
      </c>
      <c r="F218" s="5">
        <f t="shared" si="6"/>
        <v>0.72589999999999999</v>
      </c>
      <c r="G218">
        <f t="shared" si="7"/>
        <v>21.923999999999999</v>
      </c>
    </row>
    <row r="219" spans="1:7">
      <c r="A219" s="1" t="s">
        <v>36</v>
      </c>
      <c r="B219" s="1" t="s">
        <v>41</v>
      </c>
      <c r="C219" s="2" t="s">
        <v>6</v>
      </c>
      <c r="D219" s="5">
        <v>0.64470000000000005</v>
      </c>
      <c r="E219">
        <v>1E-3</v>
      </c>
      <c r="F219" s="5">
        <f t="shared" si="6"/>
        <v>0.64370000000000005</v>
      </c>
      <c r="G219">
        <f t="shared" si="7"/>
        <v>19.458000000000002</v>
      </c>
    </row>
    <row r="220" spans="1:7">
      <c r="A220" s="1" t="s">
        <v>36</v>
      </c>
      <c r="B220" s="1" t="s">
        <v>41</v>
      </c>
      <c r="C220" s="2" t="s">
        <v>7</v>
      </c>
      <c r="D220" s="5">
        <v>0.67920000000000003</v>
      </c>
      <c r="E220">
        <v>1E-3</v>
      </c>
      <c r="F220" s="5">
        <f t="shared" si="6"/>
        <v>0.67820000000000003</v>
      </c>
      <c r="G220">
        <f t="shared" si="7"/>
        <v>20.492999999999999</v>
      </c>
    </row>
    <row r="221" spans="1:7">
      <c r="A221" s="1" t="s">
        <v>36</v>
      </c>
      <c r="B221" s="1" t="s">
        <v>41</v>
      </c>
      <c r="C221" s="2" t="s">
        <v>8</v>
      </c>
      <c r="D221" s="5">
        <v>0.78700000000000003</v>
      </c>
      <c r="E221">
        <v>1E-3</v>
      </c>
      <c r="F221" s="5">
        <f t="shared" si="6"/>
        <v>0.78600000000000003</v>
      </c>
      <c r="G221">
        <f t="shared" si="7"/>
        <v>23.727000000000004</v>
      </c>
    </row>
    <row r="222" spans="1:7">
      <c r="A222" s="1" t="s">
        <v>36</v>
      </c>
      <c r="B222" s="1" t="s">
        <v>41</v>
      </c>
      <c r="C222" s="2" t="s">
        <v>10</v>
      </c>
      <c r="D222" s="5">
        <v>0.76149999999999995</v>
      </c>
      <c r="E222">
        <v>1E-3</v>
      </c>
      <c r="F222" s="5">
        <f t="shared" si="6"/>
        <v>0.76049999999999995</v>
      </c>
      <c r="G222">
        <f t="shared" si="7"/>
        <v>22.962000000000003</v>
      </c>
    </row>
    <row r="223" spans="1:7">
      <c r="A223" s="1" t="s">
        <v>36</v>
      </c>
      <c r="B223" s="1" t="s">
        <v>41</v>
      </c>
      <c r="C223" s="2" t="s">
        <v>11</v>
      </c>
      <c r="D223" s="5">
        <v>0.55600000000000005</v>
      </c>
      <c r="E223">
        <v>1E-3</v>
      </c>
      <c r="F223" s="5">
        <f t="shared" si="6"/>
        <v>0.55500000000000005</v>
      </c>
      <c r="G223">
        <f t="shared" si="7"/>
        <v>16.797000000000004</v>
      </c>
    </row>
    <row r="224" spans="1:7">
      <c r="A224" s="1" t="s">
        <v>36</v>
      </c>
      <c r="B224" s="1" t="s">
        <v>41</v>
      </c>
      <c r="C224" s="2" t="s">
        <v>12</v>
      </c>
      <c r="D224" s="5">
        <v>0.56089999999999995</v>
      </c>
      <c r="E224">
        <v>1E-3</v>
      </c>
      <c r="F224" s="5">
        <f t="shared" si="6"/>
        <v>0.55989999999999995</v>
      </c>
      <c r="G224">
        <f t="shared" si="7"/>
        <v>16.943999999999996</v>
      </c>
    </row>
    <row r="225" spans="1:7">
      <c r="A225" s="1" t="s">
        <v>36</v>
      </c>
      <c r="B225" s="1" t="s">
        <v>41</v>
      </c>
      <c r="C225" s="2" t="s">
        <v>14</v>
      </c>
      <c r="D225" s="5">
        <v>0.67269999999999996</v>
      </c>
      <c r="E225">
        <v>1E-3</v>
      </c>
      <c r="F225" s="5">
        <f t="shared" si="6"/>
        <v>0.67169999999999996</v>
      </c>
      <c r="G225">
        <f t="shared" si="7"/>
        <v>20.298000000000002</v>
      </c>
    </row>
    <row r="226" spans="1:7">
      <c r="A226" s="1" t="s">
        <v>36</v>
      </c>
      <c r="B226" s="1" t="s">
        <v>41</v>
      </c>
      <c r="C226" s="2" t="s">
        <v>15</v>
      </c>
      <c r="D226" s="5">
        <v>0.63470000000000004</v>
      </c>
      <c r="E226">
        <v>1E-3</v>
      </c>
      <c r="F226" s="5">
        <f t="shared" si="6"/>
        <v>0.63370000000000004</v>
      </c>
      <c r="G226">
        <f t="shared" si="7"/>
        <v>19.158000000000001</v>
      </c>
    </row>
    <row r="227" spans="1:7">
      <c r="A227" s="1" t="s">
        <v>36</v>
      </c>
      <c r="B227" s="1" t="s">
        <v>41</v>
      </c>
      <c r="C227" s="2" t="s">
        <v>16</v>
      </c>
      <c r="D227" s="5">
        <v>0.71440000000000003</v>
      </c>
      <c r="E227">
        <v>1E-3</v>
      </c>
      <c r="F227" s="5">
        <f t="shared" si="6"/>
        <v>0.71340000000000003</v>
      </c>
      <c r="G227">
        <f t="shared" si="7"/>
        <v>21.549000000000003</v>
      </c>
    </row>
    <row r="228" spans="1:7">
      <c r="A228" s="1" t="s">
        <v>36</v>
      </c>
      <c r="B228" s="1" t="s">
        <v>41</v>
      </c>
      <c r="C228" s="2" t="s">
        <v>18</v>
      </c>
      <c r="D228" s="5">
        <v>0.67749999999999999</v>
      </c>
      <c r="E228">
        <v>1E-3</v>
      </c>
      <c r="F228" s="5">
        <f t="shared" si="6"/>
        <v>0.67649999999999999</v>
      </c>
      <c r="G228">
        <f t="shared" si="7"/>
        <v>20.441999999999997</v>
      </c>
    </row>
    <row r="229" spans="1:7">
      <c r="A229" s="1" t="s">
        <v>36</v>
      </c>
      <c r="B229" s="1" t="s">
        <v>41</v>
      </c>
      <c r="C229" s="2" t="s">
        <v>19</v>
      </c>
      <c r="D229" s="5">
        <v>0.71789999999999998</v>
      </c>
      <c r="E229">
        <v>1E-3</v>
      </c>
      <c r="F229" s="5">
        <f t="shared" si="6"/>
        <v>0.71689999999999998</v>
      </c>
      <c r="G229">
        <f t="shared" si="7"/>
        <v>21.654</v>
      </c>
    </row>
    <row r="230" spans="1:7">
      <c r="A230" s="1" t="s">
        <v>36</v>
      </c>
      <c r="B230" s="1" t="s">
        <v>41</v>
      </c>
      <c r="C230" s="2" t="s">
        <v>20</v>
      </c>
      <c r="D230" s="5">
        <v>0.62839999999999996</v>
      </c>
      <c r="E230">
        <v>1E-3</v>
      </c>
      <c r="F230" s="5">
        <f t="shared" si="6"/>
        <v>0.62739999999999996</v>
      </c>
      <c r="G230">
        <f t="shared" si="7"/>
        <v>18.969000000000001</v>
      </c>
    </row>
    <row r="231" spans="1:7">
      <c r="A231" s="1" t="s">
        <v>36</v>
      </c>
      <c r="B231" s="1" t="s">
        <v>41</v>
      </c>
      <c r="C231" s="2" t="s">
        <v>22</v>
      </c>
      <c r="D231" s="5">
        <v>0.59389999999999998</v>
      </c>
      <c r="E231">
        <v>1E-3</v>
      </c>
      <c r="F231" s="5">
        <f t="shared" si="6"/>
        <v>0.59289999999999998</v>
      </c>
      <c r="G231">
        <f t="shared" si="7"/>
        <v>17.933999999999997</v>
      </c>
    </row>
    <row r="232" spans="1:7">
      <c r="A232" s="1" t="s">
        <v>36</v>
      </c>
      <c r="B232" s="1" t="s">
        <v>41</v>
      </c>
      <c r="C232" s="2" t="s">
        <v>23</v>
      </c>
      <c r="D232" s="5">
        <v>0.47910000000000003</v>
      </c>
      <c r="E232">
        <v>1E-3</v>
      </c>
      <c r="F232" s="5">
        <f t="shared" si="6"/>
        <v>0.47810000000000002</v>
      </c>
      <c r="G232">
        <f t="shared" si="7"/>
        <v>14.49</v>
      </c>
    </row>
    <row r="233" spans="1:7">
      <c r="A233" s="1" t="s">
        <v>36</v>
      </c>
      <c r="B233" s="1" t="s">
        <v>41</v>
      </c>
      <c r="C233" s="2" t="s">
        <v>24</v>
      </c>
      <c r="D233" s="5">
        <v>0.79559999999999997</v>
      </c>
      <c r="E233">
        <v>1E-3</v>
      </c>
      <c r="F233" s="5">
        <f t="shared" si="6"/>
        <v>0.79459999999999997</v>
      </c>
      <c r="G233">
        <f t="shared" si="7"/>
        <v>23.984999999999999</v>
      </c>
    </row>
    <row r="234" spans="1:7">
      <c r="A234" s="1" t="s">
        <v>36</v>
      </c>
      <c r="B234" s="1" t="s">
        <v>41</v>
      </c>
      <c r="C234" s="2" t="s">
        <v>26</v>
      </c>
      <c r="D234" s="5">
        <v>0.87819999999999998</v>
      </c>
      <c r="E234">
        <v>1E-3</v>
      </c>
      <c r="F234" s="5">
        <f t="shared" si="6"/>
        <v>0.87719999999999998</v>
      </c>
      <c r="G234">
        <f t="shared" si="7"/>
        <v>26.463000000000001</v>
      </c>
    </row>
    <row r="235" spans="1:7">
      <c r="A235" s="1" t="s">
        <v>36</v>
      </c>
      <c r="B235" s="1" t="s">
        <v>41</v>
      </c>
      <c r="C235" s="2" t="s">
        <v>27</v>
      </c>
      <c r="D235" s="5">
        <v>0.67230000000000001</v>
      </c>
      <c r="E235">
        <v>1E-3</v>
      </c>
      <c r="F235" s="5">
        <f t="shared" si="6"/>
        <v>0.67130000000000001</v>
      </c>
      <c r="G235">
        <f t="shared" si="7"/>
        <v>20.286000000000001</v>
      </c>
    </row>
    <row r="236" spans="1:7">
      <c r="A236" s="1" t="s">
        <v>36</v>
      </c>
      <c r="B236" s="1" t="s">
        <v>42</v>
      </c>
      <c r="C236" s="2" t="s">
        <v>4</v>
      </c>
      <c r="D236" s="5">
        <v>0.49170000000000003</v>
      </c>
      <c r="E236">
        <v>1E-3</v>
      </c>
      <c r="F236" s="5">
        <f t="shared" si="6"/>
        <v>0.49070000000000003</v>
      </c>
      <c r="G236">
        <f t="shared" si="7"/>
        <v>14.868</v>
      </c>
    </row>
    <row r="237" spans="1:7">
      <c r="A237" s="1" t="s">
        <v>36</v>
      </c>
      <c r="B237" s="1" t="s">
        <v>42</v>
      </c>
      <c r="C237" s="2" t="s">
        <v>6</v>
      </c>
      <c r="D237" s="5">
        <v>0.56399999999999995</v>
      </c>
      <c r="E237">
        <v>1E-3</v>
      </c>
      <c r="F237" s="5">
        <f t="shared" si="6"/>
        <v>0.56299999999999994</v>
      </c>
      <c r="G237">
        <f t="shared" si="7"/>
        <v>17.036999999999999</v>
      </c>
    </row>
    <row r="238" spans="1:7">
      <c r="A238" s="1" t="s">
        <v>36</v>
      </c>
      <c r="B238" s="1" t="s">
        <v>42</v>
      </c>
      <c r="C238" s="2" t="s">
        <v>7</v>
      </c>
      <c r="D238" s="5">
        <v>0.58919999999999995</v>
      </c>
      <c r="E238">
        <v>1E-3</v>
      </c>
      <c r="F238" s="5">
        <f t="shared" si="6"/>
        <v>0.58819999999999995</v>
      </c>
      <c r="G238">
        <f t="shared" si="7"/>
        <v>17.792999999999999</v>
      </c>
    </row>
    <row r="239" spans="1:7">
      <c r="A239" s="1" t="s">
        <v>36</v>
      </c>
      <c r="B239" s="1" t="s">
        <v>42</v>
      </c>
      <c r="C239" s="2" t="s">
        <v>8</v>
      </c>
      <c r="D239" s="5">
        <v>0.64300000000000002</v>
      </c>
      <c r="E239">
        <v>1E-3</v>
      </c>
      <c r="F239" s="5">
        <f t="shared" si="6"/>
        <v>0.64200000000000002</v>
      </c>
      <c r="G239">
        <f t="shared" si="7"/>
        <v>19.407</v>
      </c>
    </row>
    <row r="240" spans="1:7">
      <c r="A240" s="1" t="s">
        <v>36</v>
      </c>
      <c r="B240" s="1" t="s">
        <v>42</v>
      </c>
      <c r="C240" s="2" t="s">
        <v>10</v>
      </c>
      <c r="D240" s="5">
        <v>0.63970000000000005</v>
      </c>
      <c r="E240">
        <v>1E-3</v>
      </c>
      <c r="F240" s="5">
        <f t="shared" si="6"/>
        <v>0.63870000000000005</v>
      </c>
      <c r="G240">
        <f t="shared" si="7"/>
        <v>19.308</v>
      </c>
    </row>
    <row r="241" spans="1:7">
      <c r="A241" s="1" t="s">
        <v>36</v>
      </c>
      <c r="B241" s="1" t="s">
        <v>42</v>
      </c>
      <c r="C241" s="2" t="s">
        <v>11</v>
      </c>
      <c r="D241" s="5">
        <v>0.57240000000000002</v>
      </c>
      <c r="E241">
        <v>1E-3</v>
      </c>
      <c r="F241" s="5">
        <f t="shared" si="6"/>
        <v>0.57140000000000002</v>
      </c>
      <c r="G241">
        <f t="shared" si="7"/>
        <v>17.289000000000001</v>
      </c>
    </row>
    <row r="242" spans="1:7">
      <c r="A242" s="1" t="s">
        <v>36</v>
      </c>
      <c r="B242" s="1" t="s">
        <v>42</v>
      </c>
      <c r="C242" s="2" t="s">
        <v>12</v>
      </c>
      <c r="D242" s="5">
        <v>0.46939999999999998</v>
      </c>
      <c r="E242">
        <v>1E-3</v>
      </c>
      <c r="F242" s="5">
        <f t="shared" si="6"/>
        <v>0.46839999999999998</v>
      </c>
      <c r="G242">
        <f t="shared" si="7"/>
        <v>14.199000000000002</v>
      </c>
    </row>
    <row r="243" spans="1:7">
      <c r="A243" s="1" t="s">
        <v>36</v>
      </c>
      <c r="B243" s="1" t="s">
        <v>42</v>
      </c>
      <c r="C243" s="2" t="s">
        <v>14</v>
      </c>
      <c r="D243" s="5">
        <v>0.43380000000000002</v>
      </c>
      <c r="E243">
        <v>1E-3</v>
      </c>
      <c r="F243" s="5">
        <f t="shared" si="6"/>
        <v>0.43280000000000002</v>
      </c>
      <c r="G243">
        <f t="shared" si="7"/>
        <v>13.131</v>
      </c>
    </row>
    <row r="244" spans="1:7">
      <c r="A244" s="1" t="s">
        <v>36</v>
      </c>
      <c r="B244" s="1" t="s">
        <v>42</v>
      </c>
      <c r="C244" s="2" t="s">
        <v>15</v>
      </c>
      <c r="D244" s="5">
        <v>0.49990000000000001</v>
      </c>
      <c r="E244">
        <v>1E-3</v>
      </c>
      <c r="F244" s="5">
        <f t="shared" si="6"/>
        <v>0.49890000000000001</v>
      </c>
      <c r="G244">
        <f t="shared" si="7"/>
        <v>15.114000000000001</v>
      </c>
    </row>
    <row r="245" spans="1:7">
      <c r="A245" s="1" t="s">
        <v>36</v>
      </c>
      <c r="B245" s="1" t="s">
        <v>42</v>
      </c>
      <c r="C245" s="2" t="s">
        <v>16</v>
      </c>
      <c r="D245" s="5">
        <v>0.60580000000000001</v>
      </c>
      <c r="E245">
        <v>1E-3</v>
      </c>
      <c r="F245" s="5">
        <f t="shared" si="6"/>
        <v>0.6048</v>
      </c>
      <c r="G245">
        <f t="shared" si="7"/>
        <v>18.291</v>
      </c>
    </row>
    <row r="246" spans="1:7">
      <c r="A246" s="1" t="s">
        <v>36</v>
      </c>
      <c r="B246" s="1" t="s">
        <v>42</v>
      </c>
      <c r="C246" s="2" t="s">
        <v>18</v>
      </c>
      <c r="D246" s="5">
        <v>0.5222</v>
      </c>
      <c r="E246">
        <v>1E-3</v>
      </c>
      <c r="F246" s="5">
        <f t="shared" si="6"/>
        <v>0.5212</v>
      </c>
      <c r="G246">
        <f t="shared" si="7"/>
        <v>15.782999999999999</v>
      </c>
    </row>
    <row r="247" spans="1:7">
      <c r="A247" s="1" t="s">
        <v>36</v>
      </c>
      <c r="B247" s="1" t="s">
        <v>42</v>
      </c>
      <c r="C247" s="2" t="s">
        <v>19</v>
      </c>
      <c r="D247" s="5">
        <v>0.43569999999999998</v>
      </c>
      <c r="E247">
        <v>1E-3</v>
      </c>
      <c r="F247" s="5">
        <f t="shared" si="6"/>
        <v>0.43469999999999998</v>
      </c>
      <c r="G247">
        <f t="shared" si="7"/>
        <v>13.188000000000001</v>
      </c>
    </row>
    <row r="248" spans="1:7">
      <c r="A248" s="1" t="s">
        <v>36</v>
      </c>
      <c r="B248" s="1" t="s">
        <v>42</v>
      </c>
      <c r="C248" s="2" t="s">
        <v>20</v>
      </c>
      <c r="D248" s="5">
        <v>0.47860000000000003</v>
      </c>
      <c r="E248">
        <v>1E-3</v>
      </c>
      <c r="F248" s="5">
        <f t="shared" si="6"/>
        <v>0.47760000000000002</v>
      </c>
      <c r="G248">
        <f t="shared" si="7"/>
        <v>14.475000000000001</v>
      </c>
    </row>
    <row r="249" spans="1:7">
      <c r="A249" s="1" t="s">
        <v>36</v>
      </c>
      <c r="B249" s="1" t="s">
        <v>42</v>
      </c>
      <c r="C249" s="2" t="s">
        <v>22</v>
      </c>
      <c r="D249" s="5">
        <v>0.51619999999999999</v>
      </c>
      <c r="E249">
        <v>1E-3</v>
      </c>
      <c r="F249" s="5">
        <f t="shared" si="6"/>
        <v>0.51519999999999999</v>
      </c>
      <c r="G249">
        <f t="shared" si="7"/>
        <v>15.603000000000002</v>
      </c>
    </row>
    <row r="250" spans="1:7">
      <c r="A250" s="1" t="s">
        <v>36</v>
      </c>
      <c r="B250" s="1" t="s">
        <v>42</v>
      </c>
      <c r="C250" s="2" t="s">
        <v>23</v>
      </c>
      <c r="D250" s="5">
        <v>0.48730000000000001</v>
      </c>
      <c r="E250">
        <v>1E-3</v>
      </c>
      <c r="F250" s="5">
        <f t="shared" si="6"/>
        <v>0.48630000000000001</v>
      </c>
      <c r="G250">
        <f t="shared" si="7"/>
        <v>14.735999999999999</v>
      </c>
    </row>
    <row r="251" spans="1:7">
      <c r="A251" s="1" t="s">
        <v>36</v>
      </c>
      <c r="B251" s="1" t="s">
        <v>42</v>
      </c>
      <c r="C251" s="2" t="s">
        <v>24</v>
      </c>
      <c r="D251" s="5">
        <v>0.54890000000000005</v>
      </c>
      <c r="E251">
        <v>1E-3</v>
      </c>
      <c r="F251" s="5">
        <f t="shared" si="6"/>
        <v>0.54790000000000005</v>
      </c>
      <c r="G251">
        <f t="shared" si="7"/>
        <v>16.584000000000003</v>
      </c>
    </row>
    <row r="252" spans="1:7">
      <c r="A252" s="1" t="s">
        <v>36</v>
      </c>
      <c r="B252" s="1" t="s">
        <v>42</v>
      </c>
      <c r="C252" s="2" t="s">
        <v>26</v>
      </c>
      <c r="D252" s="5">
        <v>0.5071</v>
      </c>
      <c r="E252">
        <v>1E-3</v>
      </c>
      <c r="F252" s="5">
        <f t="shared" si="6"/>
        <v>0.50609999999999999</v>
      </c>
      <c r="G252">
        <f t="shared" si="7"/>
        <v>15.33</v>
      </c>
    </row>
    <row r="253" spans="1:7">
      <c r="A253" s="1" t="s">
        <v>36</v>
      </c>
      <c r="B253" s="1" t="s">
        <v>42</v>
      </c>
      <c r="C253" s="2" t="s">
        <v>27</v>
      </c>
      <c r="D253" s="5">
        <v>0.52290000000000003</v>
      </c>
      <c r="E253">
        <v>1E-3</v>
      </c>
      <c r="F253" s="5">
        <f t="shared" si="6"/>
        <v>0.52190000000000003</v>
      </c>
      <c r="G253">
        <f t="shared" si="7"/>
        <v>15.804000000000002</v>
      </c>
    </row>
    <row r="254" spans="1:7">
      <c r="A254" s="1" t="s">
        <v>36</v>
      </c>
      <c r="B254" s="1" t="s">
        <v>43</v>
      </c>
      <c r="C254" s="2" t="s">
        <v>4</v>
      </c>
      <c r="D254" s="5">
        <v>0.27049545454545498</v>
      </c>
      <c r="E254">
        <v>1E-3</v>
      </c>
      <c r="F254" s="5">
        <f t="shared" si="6"/>
        <v>0.26949545454545498</v>
      </c>
      <c r="G254">
        <f t="shared" si="7"/>
        <v>8.2318636363636504</v>
      </c>
    </row>
    <row r="255" spans="1:7">
      <c r="A255" s="1" t="s">
        <v>36</v>
      </c>
      <c r="B255" s="1" t="s">
        <v>43</v>
      </c>
      <c r="C255" s="2" t="s">
        <v>6</v>
      </c>
      <c r="D255" s="5">
        <v>0.28939545454545501</v>
      </c>
      <c r="E255">
        <v>1E-3</v>
      </c>
      <c r="F255" s="5">
        <f t="shared" si="6"/>
        <v>0.28839545454545501</v>
      </c>
      <c r="G255">
        <f t="shared" si="7"/>
        <v>8.7988636363636505</v>
      </c>
    </row>
    <row r="256" spans="1:7">
      <c r="A256" s="1" t="s">
        <v>36</v>
      </c>
      <c r="B256" s="1" t="s">
        <v>43</v>
      </c>
      <c r="C256" s="2" t="s">
        <v>7</v>
      </c>
      <c r="D256" s="5">
        <v>0.50209545454545501</v>
      </c>
      <c r="E256">
        <v>1E-3</v>
      </c>
      <c r="F256" s="5">
        <f t="shared" si="6"/>
        <v>0.50109545454545501</v>
      </c>
      <c r="G256">
        <f t="shared" si="7"/>
        <v>15.179863636363651</v>
      </c>
    </row>
    <row r="257" spans="1:7">
      <c r="A257" s="1" t="s">
        <v>36</v>
      </c>
      <c r="B257" s="1" t="s">
        <v>43</v>
      </c>
      <c r="C257" s="2" t="s">
        <v>8</v>
      </c>
      <c r="D257" s="5">
        <v>0.35719545454545498</v>
      </c>
      <c r="E257">
        <v>1E-3</v>
      </c>
      <c r="F257" s="5">
        <f t="shared" si="6"/>
        <v>0.35619545454545498</v>
      </c>
      <c r="G257">
        <f t="shared" si="7"/>
        <v>10.832863636363651</v>
      </c>
    </row>
    <row r="258" spans="1:7">
      <c r="A258" s="1" t="s">
        <v>36</v>
      </c>
      <c r="B258" s="1" t="s">
        <v>43</v>
      </c>
      <c r="C258" s="2" t="s">
        <v>10</v>
      </c>
      <c r="D258" s="5">
        <v>0.275895454545455</v>
      </c>
      <c r="E258">
        <v>1E-3</v>
      </c>
      <c r="F258" s="5">
        <f t="shared" si="6"/>
        <v>0.274895454545455</v>
      </c>
      <c r="G258">
        <f t="shared" si="7"/>
        <v>8.3938636363636512</v>
      </c>
    </row>
    <row r="259" spans="1:7">
      <c r="A259" s="1" t="s">
        <v>36</v>
      </c>
      <c r="B259" s="1" t="s">
        <v>43</v>
      </c>
      <c r="C259" s="2" t="s">
        <v>11</v>
      </c>
      <c r="D259" s="5">
        <v>0.22739545454545501</v>
      </c>
      <c r="E259">
        <v>1E-3</v>
      </c>
      <c r="F259" s="5">
        <f t="shared" ref="F259:F289" si="8">D259-E259</f>
        <v>0.22639545454545501</v>
      </c>
      <c r="G259">
        <f t="shared" ref="G259:G289" si="9">0.6*(F259+0.0049)*1.5/0.03</f>
        <v>6.9388636363636493</v>
      </c>
    </row>
    <row r="260" spans="1:7">
      <c r="A260" s="1" t="s">
        <v>36</v>
      </c>
      <c r="B260" s="1" t="s">
        <v>43</v>
      </c>
      <c r="C260" s="2" t="s">
        <v>12</v>
      </c>
      <c r="D260" s="5">
        <v>0.323795454545455</v>
      </c>
      <c r="E260">
        <v>1E-3</v>
      </c>
      <c r="F260" s="5">
        <f t="shared" si="8"/>
        <v>0.322795454545455</v>
      </c>
      <c r="G260">
        <f t="shared" si="9"/>
        <v>9.8308636363636506</v>
      </c>
    </row>
    <row r="261" spans="1:7">
      <c r="A261" s="1" t="s">
        <v>36</v>
      </c>
      <c r="B261" s="1" t="s">
        <v>43</v>
      </c>
      <c r="C261" s="2" t="s">
        <v>14</v>
      </c>
      <c r="D261" s="5">
        <v>0.393295454545455</v>
      </c>
      <c r="E261">
        <v>1E-3</v>
      </c>
      <c r="F261" s="5">
        <f t="shared" si="8"/>
        <v>0.392295454545455</v>
      </c>
      <c r="G261">
        <f t="shared" si="9"/>
        <v>11.91586363636365</v>
      </c>
    </row>
    <row r="262" spans="1:7">
      <c r="A262" s="1" t="s">
        <v>36</v>
      </c>
      <c r="B262" s="1" t="s">
        <v>43</v>
      </c>
      <c r="C262" s="2" t="s">
        <v>15</v>
      </c>
      <c r="D262" s="5">
        <v>0.41479545454545502</v>
      </c>
      <c r="E262">
        <v>1E-3</v>
      </c>
      <c r="F262" s="5">
        <f t="shared" si="8"/>
        <v>0.41379545454545502</v>
      </c>
      <c r="G262">
        <f t="shared" si="9"/>
        <v>12.560863636363651</v>
      </c>
    </row>
    <row r="263" spans="1:7">
      <c r="A263" s="1" t="s">
        <v>36</v>
      </c>
      <c r="B263" s="1" t="s">
        <v>43</v>
      </c>
      <c r="C263" s="2" t="s">
        <v>16</v>
      </c>
      <c r="D263" s="5">
        <v>0.215895454545455</v>
      </c>
      <c r="E263">
        <v>1E-3</v>
      </c>
      <c r="F263" s="5">
        <f t="shared" si="8"/>
        <v>0.214895454545455</v>
      </c>
      <c r="G263">
        <f t="shared" si="9"/>
        <v>6.5938636363636487</v>
      </c>
    </row>
    <row r="264" spans="1:7">
      <c r="A264" s="1" t="s">
        <v>36</v>
      </c>
      <c r="B264" s="1" t="s">
        <v>43</v>
      </c>
      <c r="C264" s="2" t="s">
        <v>18</v>
      </c>
      <c r="D264" s="5">
        <v>0.284995454545455</v>
      </c>
      <c r="E264">
        <v>1E-3</v>
      </c>
      <c r="F264" s="5">
        <f t="shared" si="8"/>
        <v>0.283995454545455</v>
      </c>
      <c r="G264">
        <f t="shared" si="9"/>
        <v>8.6668636363636491</v>
      </c>
    </row>
    <row r="265" spans="1:7">
      <c r="A265" s="1" t="s">
        <v>36</v>
      </c>
      <c r="B265" s="1" t="s">
        <v>43</v>
      </c>
      <c r="C265" s="2" t="s">
        <v>19</v>
      </c>
      <c r="D265" s="5">
        <v>0.52999545454545405</v>
      </c>
      <c r="E265">
        <v>1E-3</v>
      </c>
      <c r="F265" s="5">
        <f t="shared" si="8"/>
        <v>0.52899545454545405</v>
      </c>
      <c r="G265">
        <f t="shared" si="9"/>
        <v>16.01686363636362</v>
      </c>
    </row>
    <row r="266" spans="1:7">
      <c r="A266" s="1" t="s">
        <v>36</v>
      </c>
      <c r="B266" s="1" t="s">
        <v>43</v>
      </c>
      <c r="C266" s="2" t="s">
        <v>20</v>
      </c>
      <c r="D266" s="5">
        <v>0.307095454545455</v>
      </c>
      <c r="E266">
        <v>1E-3</v>
      </c>
      <c r="F266" s="5">
        <f t="shared" si="8"/>
        <v>0.306095454545455</v>
      </c>
      <c r="G266">
        <f t="shared" si="9"/>
        <v>9.3298636363636511</v>
      </c>
    </row>
    <row r="267" spans="1:7">
      <c r="A267" s="1" t="s">
        <v>36</v>
      </c>
      <c r="B267" s="1" t="s">
        <v>43</v>
      </c>
      <c r="C267" s="2" t="s">
        <v>22</v>
      </c>
      <c r="D267" s="5">
        <v>0.51179545454545505</v>
      </c>
      <c r="E267">
        <v>1E-3</v>
      </c>
      <c r="F267" s="5">
        <f t="shared" si="8"/>
        <v>0.51079545454545505</v>
      </c>
      <c r="G267">
        <f t="shared" si="9"/>
        <v>15.470863636363653</v>
      </c>
    </row>
    <row r="268" spans="1:7">
      <c r="A268" s="1" t="s">
        <v>36</v>
      </c>
      <c r="B268" s="1" t="s">
        <v>43</v>
      </c>
      <c r="C268" s="2" t="s">
        <v>23</v>
      </c>
      <c r="D268" s="5">
        <v>0.25199545454545502</v>
      </c>
      <c r="E268">
        <v>1E-3</v>
      </c>
      <c r="F268" s="5">
        <f t="shared" si="8"/>
        <v>0.25099545454545502</v>
      </c>
      <c r="G268">
        <f t="shared" si="9"/>
        <v>7.6768636363636515</v>
      </c>
    </row>
    <row r="269" spans="1:7">
      <c r="A269" s="1" t="s">
        <v>36</v>
      </c>
      <c r="B269" s="1" t="s">
        <v>43</v>
      </c>
      <c r="C269" s="2" t="s">
        <v>24</v>
      </c>
      <c r="D269" s="5">
        <v>0.221195454545455</v>
      </c>
      <c r="E269">
        <v>1E-3</v>
      </c>
      <c r="F269" s="5">
        <f t="shared" si="8"/>
        <v>0.220195454545455</v>
      </c>
      <c r="G269">
        <f t="shared" si="9"/>
        <v>6.7528636363636503</v>
      </c>
    </row>
    <row r="270" spans="1:7">
      <c r="A270" s="1" t="s">
        <v>36</v>
      </c>
      <c r="B270" s="1" t="s">
        <v>43</v>
      </c>
      <c r="C270" s="2" t="s">
        <v>26</v>
      </c>
      <c r="D270" s="5">
        <v>0.35859545454545499</v>
      </c>
      <c r="E270">
        <v>1E-3</v>
      </c>
      <c r="F270" s="5">
        <f t="shared" si="8"/>
        <v>0.35759545454545499</v>
      </c>
      <c r="G270">
        <f t="shared" si="9"/>
        <v>10.874863636363651</v>
      </c>
    </row>
    <row r="271" spans="1:7">
      <c r="A271" s="1" t="s">
        <v>36</v>
      </c>
      <c r="B271" s="1" t="s">
        <v>43</v>
      </c>
      <c r="C271" s="2" t="s">
        <v>27</v>
      </c>
      <c r="D271" s="5">
        <v>0.26939545454545499</v>
      </c>
      <c r="E271">
        <v>1E-3</v>
      </c>
      <c r="F271" s="5">
        <f t="shared" si="8"/>
        <v>0.26839545454545499</v>
      </c>
      <c r="G271">
        <f t="shared" si="9"/>
        <v>8.1988636363636491</v>
      </c>
    </row>
    <row r="272" spans="1:7">
      <c r="A272" s="1" t="s">
        <v>36</v>
      </c>
      <c r="B272" s="1" t="s">
        <v>44</v>
      </c>
      <c r="C272" s="2" t="s">
        <v>4</v>
      </c>
      <c r="D272" s="5">
        <v>0.35629545454545503</v>
      </c>
      <c r="E272">
        <v>1E-3</v>
      </c>
      <c r="F272" s="5">
        <f t="shared" si="8"/>
        <v>0.35529545454545503</v>
      </c>
      <c r="G272">
        <f t="shared" si="9"/>
        <v>10.805863636363652</v>
      </c>
    </row>
    <row r="273" spans="1:7">
      <c r="A273" s="1" t="s">
        <v>36</v>
      </c>
      <c r="B273" s="1" t="s">
        <v>44</v>
      </c>
      <c r="C273" s="2" t="s">
        <v>6</v>
      </c>
      <c r="D273" s="5">
        <v>0.59669545454545503</v>
      </c>
      <c r="E273">
        <v>1E-3</v>
      </c>
      <c r="F273" s="5">
        <f t="shared" si="8"/>
        <v>0.59569545454545503</v>
      </c>
      <c r="G273">
        <f t="shared" si="9"/>
        <v>18.017863636363654</v>
      </c>
    </row>
    <row r="274" spans="1:7">
      <c r="A274" s="1" t="s">
        <v>36</v>
      </c>
      <c r="B274" s="1" t="s">
        <v>44</v>
      </c>
      <c r="C274" s="2" t="s">
        <v>7</v>
      </c>
      <c r="D274" s="5">
        <v>0.42869545454545499</v>
      </c>
      <c r="E274">
        <v>1E-3</v>
      </c>
      <c r="F274" s="5">
        <f t="shared" si="8"/>
        <v>0.42769545454545499</v>
      </c>
      <c r="G274">
        <f t="shared" si="9"/>
        <v>12.977863636363647</v>
      </c>
    </row>
    <row r="275" spans="1:7">
      <c r="A275" s="1" t="s">
        <v>36</v>
      </c>
      <c r="B275" s="1" t="s">
        <v>44</v>
      </c>
      <c r="C275" s="2" t="s">
        <v>8</v>
      </c>
      <c r="D275" s="5">
        <v>0.41559545454545499</v>
      </c>
      <c r="E275">
        <v>1E-3</v>
      </c>
      <c r="F275" s="5">
        <f t="shared" si="8"/>
        <v>0.41459545454545499</v>
      </c>
      <c r="G275">
        <f t="shared" si="9"/>
        <v>12.584863636363648</v>
      </c>
    </row>
    <row r="276" spans="1:7">
      <c r="A276" s="1" t="s">
        <v>36</v>
      </c>
      <c r="B276" s="1" t="s">
        <v>44</v>
      </c>
      <c r="C276" s="2" t="s">
        <v>10</v>
      </c>
      <c r="D276" s="5">
        <v>0.30169545454545499</v>
      </c>
      <c r="E276">
        <v>1E-3</v>
      </c>
      <c r="F276" s="5">
        <f t="shared" si="8"/>
        <v>0.30069545454545499</v>
      </c>
      <c r="G276">
        <f t="shared" si="9"/>
        <v>9.1678636363636503</v>
      </c>
    </row>
    <row r="277" spans="1:7">
      <c r="A277" s="1" t="s">
        <v>36</v>
      </c>
      <c r="B277" s="1" t="s">
        <v>44</v>
      </c>
      <c r="C277" s="2" t="s">
        <v>11</v>
      </c>
      <c r="D277" s="5">
        <v>0.330295454545455</v>
      </c>
      <c r="E277">
        <v>1E-3</v>
      </c>
      <c r="F277" s="5">
        <f t="shared" si="8"/>
        <v>0.329295454545455</v>
      </c>
      <c r="G277">
        <f t="shared" si="9"/>
        <v>10.025863636363651</v>
      </c>
    </row>
    <row r="278" spans="1:7">
      <c r="A278" s="1" t="s">
        <v>36</v>
      </c>
      <c r="B278" s="1" t="s">
        <v>44</v>
      </c>
      <c r="C278" s="2" t="s">
        <v>12</v>
      </c>
      <c r="D278" s="5">
        <v>0.65219545454545502</v>
      </c>
      <c r="E278">
        <v>1E-3</v>
      </c>
      <c r="F278" s="5">
        <f t="shared" si="8"/>
        <v>0.65119545454545502</v>
      </c>
      <c r="G278">
        <f t="shared" si="9"/>
        <v>19.682863636363653</v>
      </c>
    </row>
    <row r="279" spans="1:7">
      <c r="A279" s="1" t="s">
        <v>36</v>
      </c>
      <c r="B279" s="1" t="s">
        <v>44</v>
      </c>
      <c r="C279" s="2" t="s">
        <v>14</v>
      </c>
      <c r="D279" s="5">
        <v>0.56779545454545499</v>
      </c>
      <c r="E279">
        <v>1E-3</v>
      </c>
      <c r="F279" s="5">
        <f t="shared" si="8"/>
        <v>0.56679545454545499</v>
      </c>
      <c r="G279">
        <f t="shared" si="9"/>
        <v>17.150863636363653</v>
      </c>
    </row>
    <row r="280" spans="1:7">
      <c r="A280" s="1" t="s">
        <v>36</v>
      </c>
      <c r="B280" s="1" t="s">
        <v>44</v>
      </c>
      <c r="C280" s="2" t="s">
        <v>15</v>
      </c>
      <c r="D280" s="5">
        <v>0.64199545454545404</v>
      </c>
      <c r="E280">
        <v>1E-3</v>
      </c>
      <c r="F280" s="5">
        <f t="shared" si="8"/>
        <v>0.64099545454545404</v>
      </c>
      <c r="G280">
        <f t="shared" si="9"/>
        <v>19.37686363636362</v>
      </c>
    </row>
    <row r="281" spans="1:7">
      <c r="A281" s="1" t="s">
        <v>36</v>
      </c>
      <c r="B281" s="1" t="s">
        <v>44</v>
      </c>
      <c r="C281" s="2" t="s">
        <v>16</v>
      </c>
      <c r="D281" s="5">
        <v>0.43759545454545501</v>
      </c>
      <c r="E281">
        <v>1E-3</v>
      </c>
      <c r="F281" s="5">
        <f t="shared" si="8"/>
        <v>0.43659545454545501</v>
      </c>
      <c r="G281">
        <f t="shared" si="9"/>
        <v>13.24486363636365</v>
      </c>
    </row>
    <row r="282" spans="1:7">
      <c r="A282" s="1" t="s">
        <v>36</v>
      </c>
      <c r="B282" s="1" t="s">
        <v>44</v>
      </c>
      <c r="C282" s="2" t="s">
        <v>18</v>
      </c>
      <c r="D282" s="5">
        <v>0.68629545454545404</v>
      </c>
      <c r="E282">
        <v>1E-3</v>
      </c>
      <c r="F282" s="5">
        <f t="shared" si="8"/>
        <v>0.68529545454545404</v>
      </c>
      <c r="G282">
        <f t="shared" si="9"/>
        <v>20.705863636363624</v>
      </c>
    </row>
    <row r="283" spans="1:7">
      <c r="A283" s="1" t="s">
        <v>36</v>
      </c>
      <c r="B283" s="1" t="s">
        <v>44</v>
      </c>
      <c r="C283" s="2" t="s">
        <v>19</v>
      </c>
      <c r="D283" s="5">
        <v>0.63849545454545498</v>
      </c>
      <c r="E283">
        <v>1E-3</v>
      </c>
      <c r="F283" s="5">
        <f t="shared" si="8"/>
        <v>0.63749545454545498</v>
      </c>
      <c r="G283">
        <f t="shared" si="9"/>
        <v>19.271863636363648</v>
      </c>
    </row>
    <row r="284" spans="1:7">
      <c r="A284" s="1" t="s">
        <v>36</v>
      </c>
      <c r="B284" s="1" t="s">
        <v>44</v>
      </c>
      <c r="C284" s="2" t="s">
        <v>20</v>
      </c>
      <c r="D284" s="5">
        <v>0.25099545454545502</v>
      </c>
      <c r="E284">
        <v>1E-3</v>
      </c>
      <c r="F284" s="5">
        <f t="shared" si="8"/>
        <v>0.24999545454545502</v>
      </c>
      <c r="G284">
        <f t="shared" si="9"/>
        <v>7.6468636363636513</v>
      </c>
    </row>
    <row r="285" spans="1:7">
      <c r="A285" s="1" t="s">
        <v>36</v>
      </c>
      <c r="B285" s="1" t="s">
        <v>44</v>
      </c>
      <c r="C285" s="2" t="s">
        <v>22</v>
      </c>
      <c r="D285" s="5">
        <v>0.401895454545455</v>
      </c>
      <c r="E285">
        <v>1E-3</v>
      </c>
      <c r="F285" s="5">
        <f t="shared" si="8"/>
        <v>0.400895454545455</v>
      </c>
      <c r="G285">
        <f t="shared" si="9"/>
        <v>12.173863636363651</v>
      </c>
    </row>
    <row r="286" spans="1:7">
      <c r="A286" s="1" t="s">
        <v>36</v>
      </c>
      <c r="B286" s="1" t="s">
        <v>44</v>
      </c>
      <c r="C286" s="2" t="s">
        <v>23</v>
      </c>
      <c r="D286" s="5">
        <v>0.36769545454545499</v>
      </c>
      <c r="E286">
        <v>1E-3</v>
      </c>
      <c r="F286" s="5">
        <f t="shared" si="8"/>
        <v>0.36669545454545499</v>
      </c>
      <c r="G286">
        <f t="shared" si="9"/>
        <v>11.147863636363649</v>
      </c>
    </row>
    <row r="287" spans="1:7">
      <c r="A287" s="1" t="s">
        <v>36</v>
      </c>
      <c r="B287" s="1" t="s">
        <v>44</v>
      </c>
      <c r="C287" s="2" t="s">
        <v>24</v>
      </c>
      <c r="D287" s="5">
        <v>0.288995454545455</v>
      </c>
      <c r="E287">
        <v>1E-3</v>
      </c>
      <c r="F287" s="5">
        <f t="shared" si="8"/>
        <v>0.287995454545455</v>
      </c>
      <c r="G287">
        <f t="shared" si="9"/>
        <v>8.7868636363636501</v>
      </c>
    </row>
    <row r="288" spans="1:7">
      <c r="A288" s="1" t="s">
        <v>36</v>
      </c>
      <c r="B288" s="1" t="s">
        <v>44</v>
      </c>
      <c r="C288" s="2" t="s">
        <v>26</v>
      </c>
      <c r="D288" s="5">
        <v>0.28739545454545501</v>
      </c>
      <c r="E288">
        <v>1E-3</v>
      </c>
      <c r="F288" s="5">
        <f t="shared" si="8"/>
        <v>0.28639545454545501</v>
      </c>
      <c r="G288">
        <f t="shared" si="9"/>
        <v>8.7388636363636518</v>
      </c>
    </row>
    <row r="289" spans="1:7">
      <c r="A289" s="1" t="s">
        <v>36</v>
      </c>
      <c r="B289" s="1" t="s">
        <v>44</v>
      </c>
      <c r="C289" s="2" t="s">
        <v>27</v>
      </c>
      <c r="D289" s="5">
        <v>0.30549545454545501</v>
      </c>
      <c r="E289">
        <v>1E-3</v>
      </c>
      <c r="F289" s="5">
        <f t="shared" si="8"/>
        <v>0.30449545454545501</v>
      </c>
      <c r="G289">
        <f t="shared" si="9"/>
        <v>9.2818636363636511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2441-A248-FB4D-AFA3-9B97A4D78960}">
  <dimension ref="A1:I289"/>
  <sheetViews>
    <sheetView zoomScale="139" workbookViewId="0">
      <selection activeCell="H2" sqref="H2:H289"/>
    </sheetView>
  </sheetViews>
  <sheetFormatPr baseColWidth="10" defaultRowHeight="16"/>
  <cols>
    <col min="1" max="3" width="10.83203125" style="1"/>
    <col min="4" max="4" width="10.83203125" style="5"/>
  </cols>
  <sheetData>
    <row r="1" spans="1:9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70</v>
      </c>
      <c r="H1" s="1" t="s">
        <v>67</v>
      </c>
      <c r="I1" s="1" t="s">
        <v>72</v>
      </c>
    </row>
    <row r="2" spans="1:9">
      <c r="A2" s="1" t="s">
        <v>35</v>
      </c>
      <c r="B2" s="1" t="s">
        <v>28</v>
      </c>
      <c r="C2" s="1" t="s">
        <v>5</v>
      </c>
      <c r="D2" s="5">
        <v>0.19814999999999999</v>
      </c>
      <c r="E2">
        <v>9.0800000000000006E-2</v>
      </c>
      <c r="F2" s="5">
        <f>D2-E2</f>
        <v>0.10734999999999999</v>
      </c>
      <c r="G2" s="5">
        <f>1/3.5</f>
        <v>0.2857142857142857</v>
      </c>
      <c r="H2">
        <f>0.5071*(F2-0.0035)/0.15*G2*1000</f>
        <v>100.3092095238095</v>
      </c>
    </row>
    <row r="3" spans="1:9">
      <c r="A3" s="1" t="s">
        <v>35</v>
      </c>
      <c r="B3" s="1" t="s">
        <v>28</v>
      </c>
      <c r="C3" s="1" t="s">
        <v>6</v>
      </c>
      <c r="D3" s="5">
        <v>0.21145</v>
      </c>
      <c r="E3">
        <v>9.0800000000000006E-2</v>
      </c>
      <c r="F3" s="5">
        <f t="shared" ref="F3:F66" si="0">D3-E3</f>
        <v>0.12064999999999999</v>
      </c>
      <c r="G3" s="5">
        <f t="shared" ref="G3:G66" si="1">1/3.5</f>
        <v>0.2857142857142857</v>
      </c>
      <c r="H3">
        <f t="shared" ref="H3:H66" si="2">0.5071*(F3-0.0035)/0.15*G3*1000</f>
        <v>113.15574285714284</v>
      </c>
    </row>
    <row r="4" spans="1:9">
      <c r="A4" s="1" t="s">
        <v>35</v>
      </c>
      <c r="B4" s="1" t="s">
        <v>28</v>
      </c>
      <c r="C4" s="1" t="s">
        <v>7</v>
      </c>
      <c r="D4" s="5">
        <v>0.20115</v>
      </c>
      <c r="E4">
        <v>9.0800000000000006E-2</v>
      </c>
      <c r="F4" s="5">
        <f t="shared" si="0"/>
        <v>0.11034999999999999</v>
      </c>
      <c r="G4" s="5">
        <f t="shared" si="1"/>
        <v>0.2857142857142857</v>
      </c>
      <c r="H4">
        <f t="shared" si="2"/>
        <v>103.2069238095238</v>
      </c>
    </row>
    <row r="5" spans="1:9">
      <c r="A5" s="1" t="s">
        <v>35</v>
      </c>
      <c r="B5" s="1" t="s">
        <v>28</v>
      </c>
      <c r="C5" s="1" t="s">
        <v>9</v>
      </c>
      <c r="D5" s="5">
        <v>0.21185000000000001</v>
      </c>
      <c r="E5">
        <v>9.0800000000000006E-2</v>
      </c>
      <c r="F5" s="5">
        <f t="shared" si="0"/>
        <v>0.12105</v>
      </c>
      <c r="G5" s="5">
        <f t="shared" si="1"/>
        <v>0.2857142857142857</v>
      </c>
      <c r="H5">
        <f t="shared" si="2"/>
        <v>113.54210476190477</v>
      </c>
    </row>
    <row r="6" spans="1:9">
      <c r="A6" s="1" t="s">
        <v>35</v>
      </c>
      <c r="B6" s="1" t="s">
        <v>28</v>
      </c>
      <c r="C6" s="1" t="s">
        <v>10</v>
      </c>
      <c r="D6" s="5">
        <v>0.18825</v>
      </c>
      <c r="E6">
        <v>9.0800000000000006E-2</v>
      </c>
      <c r="F6" s="5">
        <f t="shared" si="0"/>
        <v>9.7449999999999995E-2</v>
      </c>
      <c r="G6" s="5">
        <f t="shared" si="1"/>
        <v>0.2857142857142857</v>
      </c>
      <c r="H6">
        <f t="shared" si="2"/>
        <v>90.746752380952373</v>
      </c>
    </row>
    <row r="7" spans="1:9">
      <c r="A7" s="1" t="s">
        <v>35</v>
      </c>
      <c r="B7" s="1" t="s">
        <v>28</v>
      </c>
      <c r="C7" s="1" t="s">
        <v>11</v>
      </c>
      <c r="D7" s="5">
        <v>0.20815</v>
      </c>
      <c r="E7">
        <v>9.0800000000000006E-2</v>
      </c>
      <c r="F7" s="5">
        <f t="shared" si="0"/>
        <v>0.11735</v>
      </c>
      <c r="G7" s="5">
        <f t="shared" si="1"/>
        <v>0.2857142857142857</v>
      </c>
      <c r="H7">
        <f t="shared" si="2"/>
        <v>109.96825714285713</v>
      </c>
    </row>
    <row r="8" spans="1:9">
      <c r="A8" s="1" t="s">
        <v>35</v>
      </c>
      <c r="B8" s="1" t="s">
        <v>28</v>
      </c>
      <c r="C8" s="1" t="s">
        <v>13</v>
      </c>
      <c r="D8" s="5">
        <v>0.17954999999999999</v>
      </c>
      <c r="E8">
        <v>9.0800000000000006E-2</v>
      </c>
      <c r="F8" s="5">
        <f t="shared" si="0"/>
        <v>8.8749999999999982E-2</v>
      </c>
      <c r="G8" s="5">
        <f t="shared" si="1"/>
        <v>0.2857142857142857</v>
      </c>
      <c r="H8">
        <f t="shared" si="2"/>
        <v>82.343380952380926</v>
      </c>
    </row>
    <row r="9" spans="1:9">
      <c r="A9" s="1" t="s">
        <v>35</v>
      </c>
      <c r="B9" s="1" t="s">
        <v>28</v>
      </c>
      <c r="C9" s="1" t="s">
        <v>14</v>
      </c>
      <c r="D9" s="5">
        <v>0.26655000000000001</v>
      </c>
      <c r="E9">
        <v>9.0800000000000006E-2</v>
      </c>
      <c r="F9" s="5">
        <f t="shared" si="0"/>
        <v>0.17575000000000002</v>
      </c>
      <c r="G9" s="5">
        <f t="shared" si="1"/>
        <v>0.2857142857142857</v>
      </c>
      <c r="H9">
        <f t="shared" si="2"/>
        <v>166.37709523809525</v>
      </c>
    </row>
    <row r="10" spans="1:9">
      <c r="A10" s="1" t="s">
        <v>35</v>
      </c>
      <c r="B10" s="1" t="s">
        <v>28</v>
      </c>
      <c r="C10" s="1" t="s">
        <v>15</v>
      </c>
      <c r="D10" s="5">
        <v>0.17315</v>
      </c>
      <c r="E10">
        <v>9.0800000000000006E-2</v>
      </c>
      <c r="F10" s="5">
        <f t="shared" si="0"/>
        <v>8.2349999999999993E-2</v>
      </c>
      <c r="G10" s="5">
        <f t="shared" si="1"/>
        <v>0.2857142857142857</v>
      </c>
      <c r="H10">
        <f t="shared" si="2"/>
        <v>76.161590476190469</v>
      </c>
    </row>
    <row r="11" spans="1:9">
      <c r="A11" s="1" t="s">
        <v>35</v>
      </c>
      <c r="B11" s="1" t="s">
        <v>28</v>
      </c>
      <c r="C11" s="1" t="s">
        <v>17</v>
      </c>
      <c r="D11" s="5">
        <v>0.17765</v>
      </c>
      <c r="E11">
        <v>9.0800000000000006E-2</v>
      </c>
      <c r="F11" s="5">
        <f t="shared" si="0"/>
        <v>8.6849999999999997E-2</v>
      </c>
      <c r="G11" s="5">
        <f t="shared" si="1"/>
        <v>0.2857142857142857</v>
      </c>
      <c r="H11">
        <f t="shared" si="2"/>
        <v>80.508161904761891</v>
      </c>
    </row>
    <row r="12" spans="1:9">
      <c r="A12" s="1" t="s">
        <v>35</v>
      </c>
      <c r="B12" s="1" t="s">
        <v>28</v>
      </c>
      <c r="C12" s="1" t="s">
        <v>18</v>
      </c>
      <c r="D12" s="5">
        <v>0.21495</v>
      </c>
      <c r="E12">
        <v>9.0800000000000006E-2</v>
      </c>
      <c r="F12" s="5">
        <f t="shared" si="0"/>
        <v>0.12415</v>
      </c>
      <c r="G12" s="5">
        <f t="shared" si="1"/>
        <v>0.2857142857142857</v>
      </c>
      <c r="H12">
        <f t="shared" si="2"/>
        <v>116.53640952380951</v>
      </c>
    </row>
    <row r="13" spans="1:9">
      <c r="A13" s="1" t="s">
        <v>35</v>
      </c>
      <c r="B13" s="1" t="s">
        <v>28</v>
      </c>
      <c r="C13" s="1" t="s">
        <v>19</v>
      </c>
      <c r="D13" s="5">
        <v>0.19434999999999999</v>
      </c>
      <c r="E13">
        <v>9.0800000000000006E-2</v>
      </c>
      <c r="F13" s="5">
        <f t="shared" si="0"/>
        <v>0.10354999999999999</v>
      </c>
      <c r="G13" s="5">
        <f t="shared" si="1"/>
        <v>0.2857142857142857</v>
      </c>
      <c r="H13">
        <f t="shared" si="2"/>
        <v>96.638771428571417</v>
      </c>
    </row>
    <row r="14" spans="1:9">
      <c r="A14" s="1" t="s">
        <v>35</v>
      </c>
      <c r="B14" s="1" t="s">
        <v>28</v>
      </c>
      <c r="C14" s="1" t="s">
        <v>21</v>
      </c>
      <c r="D14" s="5">
        <v>0.32074999999999998</v>
      </c>
      <c r="E14">
        <v>9.0800000000000006E-2</v>
      </c>
      <c r="F14" s="5">
        <f t="shared" si="0"/>
        <v>0.22994999999999999</v>
      </c>
      <c r="G14" s="5">
        <f t="shared" si="1"/>
        <v>0.2857142857142857</v>
      </c>
      <c r="H14">
        <f t="shared" si="2"/>
        <v>218.72913333333329</v>
      </c>
    </row>
    <row r="15" spans="1:9">
      <c r="A15" s="1" t="s">
        <v>35</v>
      </c>
      <c r="B15" s="1" t="s">
        <v>28</v>
      </c>
      <c r="C15" s="1" t="s">
        <v>22</v>
      </c>
      <c r="D15" s="5">
        <v>0.23155000000000001</v>
      </c>
      <c r="E15">
        <v>9.0800000000000006E-2</v>
      </c>
      <c r="F15" s="5">
        <f t="shared" si="0"/>
        <v>0.14074999999999999</v>
      </c>
      <c r="G15" s="5">
        <f t="shared" si="1"/>
        <v>0.2857142857142857</v>
      </c>
      <c r="H15">
        <f t="shared" si="2"/>
        <v>132.57042857142855</v>
      </c>
    </row>
    <row r="16" spans="1:9">
      <c r="A16" s="1" t="s">
        <v>35</v>
      </c>
      <c r="B16" s="1" t="s">
        <v>28</v>
      </c>
      <c r="C16" s="1" t="s">
        <v>23</v>
      </c>
      <c r="D16" s="5">
        <v>0.22234999999999999</v>
      </c>
      <c r="E16">
        <v>9.0800000000000006E-2</v>
      </c>
      <c r="F16" s="5">
        <f t="shared" si="0"/>
        <v>0.13155</v>
      </c>
      <c r="G16" s="5">
        <f t="shared" si="1"/>
        <v>0.2857142857142857</v>
      </c>
      <c r="H16">
        <f t="shared" si="2"/>
        <v>123.68410476190475</v>
      </c>
    </row>
    <row r="17" spans="1:8">
      <c r="A17" s="1" t="s">
        <v>35</v>
      </c>
      <c r="B17" s="1" t="s">
        <v>28</v>
      </c>
      <c r="C17" s="1" t="s">
        <v>25</v>
      </c>
      <c r="D17" s="5">
        <v>0.21045</v>
      </c>
      <c r="E17">
        <v>9.0800000000000006E-2</v>
      </c>
      <c r="F17" s="5">
        <f t="shared" si="0"/>
        <v>0.11964999999999999</v>
      </c>
      <c r="G17" s="5">
        <f t="shared" si="1"/>
        <v>0.2857142857142857</v>
      </c>
      <c r="H17">
        <f t="shared" si="2"/>
        <v>112.1898380952381</v>
      </c>
    </row>
    <row r="18" spans="1:8">
      <c r="A18" s="1" t="s">
        <v>35</v>
      </c>
      <c r="B18" s="1" t="s">
        <v>28</v>
      </c>
      <c r="C18" s="1" t="s">
        <v>26</v>
      </c>
      <c r="D18" s="5">
        <v>0.26214999999999999</v>
      </c>
      <c r="E18">
        <v>9.0800000000000006E-2</v>
      </c>
      <c r="F18" s="5">
        <f t="shared" si="0"/>
        <v>0.17135</v>
      </c>
      <c r="G18" s="5">
        <f t="shared" si="1"/>
        <v>0.2857142857142857</v>
      </c>
      <c r="H18">
        <f t="shared" si="2"/>
        <v>162.12711428571427</v>
      </c>
    </row>
    <row r="19" spans="1:8">
      <c r="A19" s="1" t="s">
        <v>35</v>
      </c>
      <c r="B19" s="1" t="s">
        <v>28</v>
      </c>
      <c r="C19" s="1" t="s">
        <v>27</v>
      </c>
      <c r="D19" s="5">
        <v>0.20524999999999999</v>
      </c>
      <c r="E19">
        <v>9.0800000000000006E-2</v>
      </c>
      <c r="F19" s="5">
        <f t="shared" si="0"/>
        <v>0.11444999999999998</v>
      </c>
      <c r="G19" s="5">
        <f t="shared" si="1"/>
        <v>0.2857142857142857</v>
      </c>
      <c r="H19">
        <f t="shared" si="2"/>
        <v>107.16713333333331</v>
      </c>
    </row>
    <row r="20" spans="1:8">
      <c r="A20" s="1" t="s">
        <v>35</v>
      </c>
      <c r="B20" s="1" t="s">
        <v>2</v>
      </c>
      <c r="C20" s="1" t="s">
        <v>5</v>
      </c>
      <c r="D20" s="5">
        <v>0.165533333333333</v>
      </c>
      <c r="E20">
        <v>9.0800000000000006E-2</v>
      </c>
      <c r="F20" s="5">
        <f t="shared" si="0"/>
        <v>7.4733333333332999E-2</v>
      </c>
      <c r="G20" s="5">
        <f t="shared" si="1"/>
        <v>0.2857142857142857</v>
      </c>
      <c r="H20">
        <f t="shared" si="2"/>
        <v>68.80461587301555</v>
      </c>
    </row>
    <row r="21" spans="1:8">
      <c r="A21" s="1" t="s">
        <v>35</v>
      </c>
      <c r="B21" s="1" t="s">
        <v>2</v>
      </c>
      <c r="C21" s="1" t="s">
        <v>6</v>
      </c>
      <c r="D21" s="5">
        <v>0.206633333333333</v>
      </c>
      <c r="E21">
        <v>9.0800000000000006E-2</v>
      </c>
      <c r="F21" s="5">
        <f t="shared" si="0"/>
        <v>0.115833333333333</v>
      </c>
      <c r="G21" s="5">
        <f t="shared" si="1"/>
        <v>0.2857142857142857</v>
      </c>
      <c r="H21">
        <f t="shared" si="2"/>
        <v>108.50330158730127</v>
      </c>
    </row>
    <row r="22" spans="1:8">
      <c r="A22" s="1" t="s">
        <v>35</v>
      </c>
      <c r="B22" s="1" t="s">
        <v>2</v>
      </c>
      <c r="C22" s="1" t="s">
        <v>7</v>
      </c>
      <c r="D22" s="5">
        <v>0.24333333333333301</v>
      </c>
      <c r="E22">
        <v>9.0800000000000006E-2</v>
      </c>
      <c r="F22" s="5">
        <f t="shared" si="0"/>
        <v>0.15253333333333302</v>
      </c>
      <c r="G22" s="5">
        <f t="shared" si="1"/>
        <v>0.2857142857142857</v>
      </c>
      <c r="H22">
        <f t="shared" si="2"/>
        <v>143.95200634920604</v>
      </c>
    </row>
    <row r="23" spans="1:8">
      <c r="A23" s="1" t="s">
        <v>35</v>
      </c>
      <c r="B23" s="1" t="s">
        <v>2</v>
      </c>
      <c r="C23" s="1" t="s">
        <v>9</v>
      </c>
      <c r="D23" s="5">
        <v>0.208933333333333</v>
      </c>
      <c r="E23">
        <v>9.0800000000000006E-2</v>
      </c>
      <c r="F23" s="5">
        <f t="shared" si="0"/>
        <v>0.11813333333333299</v>
      </c>
      <c r="G23" s="5">
        <f t="shared" si="1"/>
        <v>0.2857142857142857</v>
      </c>
      <c r="H23">
        <f t="shared" si="2"/>
        <v>110.7248825396822</v>
      </c>
    </row>
    <row r="24" spans="1:8">
      <c r="A24" s="1" t="s">
        <v>35</v>
      </c>
      <c r="B24" s="1" t="s">
        <v>2</v>
      </c>
      <c r="C24" s="1" t="s">
        <v>10</v>
      </c>
      <c r="D24" s="5">
        <v>0.238433333333333</v>
      </c>
      <c r="E24">
        <v>9.0800000000000006E-2</v>
      </c>
      <c r="F24" s="5">
        <f t="shared" si="0"/>
        <v>0.14763333333333301</v>
      </c>
      <c r="G24" s="5">
        <f t="shared" si="1"/>
        <v>0.2857142857142857</v>
      </c>
      <c r="H24">
        <f t="shared" si="2"/>
        <v>139.21907301587268</v>
      </c>
    </row>
    <row r="25" spans="1:8">
      <c r="A25" s="1" t="s">
        <v>35</v>
      </c>
      <c r="B25" s="1" t="s">
        <v>2</v>
      </c>
      <c r="C25" s="1" t="s">
        <v>11</v>
      </c>
      <c r="D25" s="5">
        <v>0.167633333333333</v>
      </c>
      <c r="E25">
        <v>9.0800000000000006E-2</v>
      </c>
      <c r="F25" s="5">
        <f t="shared" si="0"/>
        <v>7.683333333333299E-2</v>
      </c>
      <c r="G25" s="5">
        <f t="shared" si="1"/>
        <v>0.2857142857142857</v>
      </c>
      <c r="H25">
        <f t="shared" si="2"/>
        <v>70.83301587301554</v>
      </c>
    </row>
    <row r="26" spans="1:8">
      <c r="A26" s="1" t="s">
        <v>35</v>
      </c>
      <c r="B26" s="1" t="s">
        <v>2</v>
      </c>
      <c r="C26" s="1" t="s">
        <v>13</v>
      </c>
      <c r="D26" s="5">
        <v>0.21403333333333299</v>
      </c>
      <c r="E26">
        <v>9.0800000000000006E-2</v>
      </c>
      <c r="F26" s="5">
        <f t="shared" si="0"/>
        <v>0.12323333333333299</v>
      </c>
      <c r="G26" s="5">
        <f t="shared" si="1"/>
        <v>0.2857142857142857</v>
      </c>
      <c r="H26">
        <f t="shared" si="2"/>
        <v>115.65099682539649</v>
      </c>
    </row>
    <row r="27" spans="1:8">
      <c r="A27" s="1" t="s">
        <v>35</v>
      </c>
      <c r="B27" s="1" t="s">
        <v>2</v>
      </c>
      <c r="C27" s="1" t="s">
        <v>14</v>
      </c>
      <c r="D27" s="5">
        <v>0.28793333333333299</v>
      </c>
      <c r="E27">
        <v>9.0800000000000006E-2</v>
      </c>
      <c r="F27" s="5">
        <f t="shared" si="0"/>
        <v>0.19713333333333299</v>
      </c>
      <c r="G27" s="5">
        <f t="shared" si="1"/>
        <v>0.2857142857142857</v>
      </c>
      <c r="H27">
        <f t="shared" si="2"/>
        <v>187.03135873015842</v>
      </c>
    </row>
    <row r="28" spans="1:8">
      <c r="A28" s="1" t="s">
        <v>35</v>
      </c>
      <c r="B28" s="1" t="s">
        <v>2</v>
      </c>
      <c r="C28" s="1" t="s">
        <v>15</v>
      </c>
      <c r="D28" s="5">
        <v>0.15663333333333301</v>
      </c>
      <c r="E28">
        <v>9.0800000000000006E-2</v>
      </c>
      <c r="F28" s="5">
        <f t="shared" si="0"/>
        <v>6.5833333333333008E-2</v>
      </c>
      <c r="G28" s="5">
        <f t="shared" si="1"/>
        <v>0.2857142857142857</v>
      </c>
      <c r="H28">
        <f t="shared" si="2"/>
        <v>60.208063492063175</v>
      </c>
    </row>
    <row r="29" spans="1:8">
      <c r="A29" s="1" t="s">
        <v>35</v>
      </c>
      <c r="B29" s="1" t="s">
        <v>2</v>
      </c>
      <c r="C29" s="1" t="s">
        <v>17</v>
      </c>
      <c r="D29" s="5">
        <v>0.21743333333333301</v>
      </c>
      <c r="E29">
        <v>9.0800000000000006E-2</v>
      </c>
      <c r="F29" s="5">
        <f t="shared" si="0"/>
        <v>0.12663333333333299</v>
      </c>
      <c r="G29" s="5">
        <f t="shared" si="1"/>
        <v>0.2857142857142857</v>
      </c>
      <c r="H29">
        <f t="shared" si="2"/>
        <v>118.93507301587266</v>
      </c>
    </row>
    <row r="30" spans="1:8">
      <c r="A30" s="1" t="s">
        <v>35</v>
      </c>
      <c r="B30" s="1" t="s">
        <v>2</v>
      </c>
      <c r="C30" s="1" t="s">
        <v>18</v>
      </c>
      <c r="D30" s="5">
        <v>0.18383333333333299</v>
      </c>
      <c r="E30">
        <v>9.0800000000000006E-2</v>
      </c>
      <c r="F30" s="5">
        <f t="shared" si="0"/>
        <v>9.3033333333332982E-2</v>
      </c>
      <c r="G30" s="5">
        <f t="shared" si="1"/>
        <v>0.2857142857142857</v>
      </c>
      <c r="H30">
        <f t="shared" si="2"/>
        <v>86.480673015872654</v>
      </c>
    </row>
    <row r="31" spans="1:8">
      <c r="A31" s="1" t="s">
        <v>35</v>
      </c>
      <c r="B31" s="1" t="s">
        <v>2</v>
      </c>
      <c r="C31" s="1" t="s">
        <v>19</v>
      </c>
      <c r="D31" s="5">
        <v>0.196033333333333</v>
      </c>
      <c r="E31">
        <v>9.0800000000000006E-2</v>
      </c>
      <c r="F31" s="5">
        <f t="shared" si="0"/>
        <v>0.105233333333333</v>
      </c>
      <c r="G31" s="5">
        <f t="shared" si="1"/>
        <v>0.2857142857142857</v>
      </c>
      <c r="H31">
        <f t="shared" si="2"/>
        <v>98.264711111110785</v>
      </c>
    </row>
    <row r="32" spans="1:8">
      <c r="A32" s="1" t="s">
        <v>35</v>
      </c>
      <c r="B32" s="1" t="s">
        <v>2</v>
      </c>
      <c r="C32" s="1" t="s">
        <v>21</v>
      </c>
      <c r="D32" s="5">
        <v>0.27853333333333302</v>
      </c>
      <c r="E32">
        <v>9.0800000000000006E-2</v>
      </c>
      <c r="F32" s="5">
        <f t="shared" si="0"/>
        <v>0.18773333333333303</v>
      </c>
      <c r="G32" s="5">
        <f t="shared" si="1"/>
        <v>0.2857142857142857</v>
      </c>
      <c r="H32">
        <f t="shared" si="2"/>
        <v>177.95185396825369</v>
      </c>
    </row>
    <row r="33" spans="1:8">
      <c r="A33" s="1" t="s">
        <v>35</v>
      </c>
      <c r="B33" s="1" t="s">
        <v>2</v>
      </c>
      <c r="C33" s="1" t="s">
        <v>22</v>
      </c>
      <c r="D33" s="5">
        <v>0.22093333333333301</v>
      </c>
      <c r="E33">
        <v>9.0800000000000006E-2</v>
      </c>
      <c r="F33" s="5">
        <f t="shared" si="0"/>
        <v>0.13013333333333299</v>
      </c>
      <c r="G33" s="5">
        <f t="shared" si="1"/>
        <v>0.2857142857142857</v>
      </c>
      <c r="H33">
        <f t="shared" si="2"/>
        <v>122.31573968253934</v>
      </c>
    </row>
    <row r="34" spans="1:8">
      <c r="A34" s="1" t="s">
        <v>35</v>
      </c>
      <c r="B34" s="1" t="s">
        <v>2</v>
      </c>
      <c r="C34" s="1" t="s">
        <v>23</v>
      </c>
      <c r="D34" s="5">
        <v>0.19493333333333299</v>
      </c>
      <c r="E34">
        <v>9.0800000000000006E-2</v>
      </c>
      <c r="F34" s="5">
        <f t="shared" si="0"/>
        <v>0.10413333333333298</v>
      </c>
      <c r="G34" s="5">
        <f t="shared" si="1"/>
        <v>0.2857142857142857</v>
      </c>
      <c r="H34">
        <f t="shared" si="2"/>
        <v>97.202215873015518</v>
      </c>
    </row>
    <row r="35" spans="1:8">
      <c r="A35" s="1" t="s">
        <v>35</v>
      </c>
      <c r="B35" s="1" t="s">
        <v>2</v>
      </c>
      <c r="C35" s="1" t="s">
        <v>25</v>
      </c>
      <c r="D35" s="5">
        <v>0.22563333333333299</v>
      </c>
      <c r="E35">
        <v>9.0800000000000006E-2</v>
      </c>
      <c r="F35" s="5">
        <f t="shared" si="0"/>
        <v>0.13483333333333297</v>
      </c>
      <c r="G35" s="5">
        <f t="shared" si="1"/>
        <v>0.2857142857142857</v>
      </c>
      <c r="H35">
        <f t="shared" si="2"/>
        <v>126.8554920634917</v>
      </c>
    </row>
    <row r="36" spans="1:8">
      <c r="A36" s="1" t="s">
        <v>35</v>
      </c>
      <c r="B36" s="1" t="s">
        <v>2</v>
      </c>
      <c r="C36" s="1" t="s">
        <v>26</v>
      </c>
      <c r="D36" s="5">
        <v>0.16603333333333301</v>
      </c>
      <c r="E36">
        <v>9.0800000000000006E-2</v>
      </c>
      <c r="F36" s="5">
        <f t="shared" si="0"/>
        <v>7.5233333333333E-2</v>
      </c>
      <c r="G36" s="5">
        <f t="shared" si="1"/>
        <v>0.2857142857142857</v>
      </c>
      <c r="H36">
        <f t="shared" si="2"/>
        <v>69.287568253967933</v>
      </c>
    </row>
    <row r="37" spans="1:8">
      <c r="A37" s="1" t="s">
        <v>35</v>
      </c>
      <c r="B37" s="1" t="s">
        <v>2</v>
      </c>
      <c r="C37" s="1" t="s">
        <v>27</v>
      </c>
      <c r="D37" s="5">
        <v>0.18503333333333299</v>
      </c>
      <c r="E37">
        <v>9.0800000000000006E-2</v>
      </c>
      <c r="F37" s="5">
        <f t="shared" si="0"/>
        <v>9.4233333333332989E-2</v>
      </c>
      <c r="G37" s="5">
        <f t="shared" si="1"/>
        <v>0.2857142857142857</v>
      </c>
      <c r="H37">
        <f t="shared" si="2"/>
        <v>87.639758730158391</v>
      </c>
    </row>
    <row r="38" spans="1:8">
      <c r="A38" s="1" t="s">
        <v>35</v>
      </c>
      <c r="B38" s="1" t="s">
        <v>29</v>
      </c>
      <c r="C38" s="1" t="s">
        <v>5</v>
      </c>
      <c r="D38" s="5">
        <v>0.111</v>
      </c>
      <c r="E38">
        <v>9.0800000000000006E-2</v>
      </c>
      <c r="F38" s="5">
        <f t="shared" si="0"/>
        <v>2.0199999999999996E-2</v>
      </c>
      <c r="G38" s="5">
        <f t="shared" si="1"/>
        <v>0.2857142857142857</v>
      </c>
      <c r="H38">
        <f t="shared" si="2"/>
        <v>16.130609523809522</v>
      </c>
    </row>
    <row r="39" spans="1:8">
      <c r="A39" s="1" t="s">
        <v>35</v>
      </c>
      <c r="B39" s="1" t="s">
        <v>29</v>
      </c>
      <c r="C39" s="1" t="s">
        <v>6</v>
      </c>
      <c r="D39" s="5">
        <v>0.16350000000000001</v>
      </c>
      <c r="E39">
        <v>9.0800000000000006E-2</v>
      </c>
      <c r="F39" s="5">
        <f t="shared" si="0"/>
        <v>7.2700000000000001E-2</v>
      </c>
      <c r="G39" s="5">
        <f t="shared" si="1"/>
        <v>0.2857142857142857</v>
      </c>
      <c r="H39">
        <f t="shared" si="2"/>
        <v>66.840609523809505</v>
      </c>
    </row>
    <row r="40" spans="1:8">
      <c r="A40" s="1" t="s">
        <v>35</v>
      </c>
      <c r="B40" s="1" t="s">
        <v>29</v>
      </c>
      <c r="C40" s="1" t="s">
        <v>7</v>
      </c>
      <c r="D40" s="5">
        <v>0.15559999999999999</v>
      </c>
      <c r="E40">
        <v>9.0800000000000006E-2</v>
      </c>
      <c r="F40" s="5">
        <f t="shared" si="0"/>
        <v>6.4799999999999983E-2</v>
      </c>
      <c r="G40" s="5">
        <f t="shared" si="1"/>
        <v>0.2857142857142857</v>
      </c>
      <c r="H40">
        <f t="shared" si="2"/>
        <v>59.209961904761883</v>
      </c>
    </row>
    <row r="41" spans="1:8">
      <c r="A41" s="1" t="s">
        <v>35</v>
      </c>
      <c r="B41" s="1" t="s">
        <v>29</v>
      </c>
      <c r="C41" s="1" t="s">
        <v>9</v>
      </c>
      <c r="D41" s="5">
        <v>0.1231</v>
      </c>
      <c r="E41">
        <v>9.0800000000000006E-2</v>
      </c>
      <c r="F41" s="5">
        <f t="shared" si="0"/>
        <v>3.2299999999999995E-2</v>
      </c>
      <c r="G41" s="5">
        <f t="shared" si="1"/>
        <v>0.2857142857142857</v>
      </c>
      <c r="H41">
        <f t="shared" si="2"/>
        <v>27.818057142857135</v>
      </c>
    </row>
    <row r="42" spans="1:8">
      <c r="A42" s="1" t="s">
        <v>35</v>
      </c>
      <c r="B42" s="1" t="s">
        <v>29</v>
      </c>
      <c r="C42" s="1" t="s">
        <v>10</v>
      </c>
      <c r="D42" s="5">
        <v>0.13950000000000001</v>
      </c>
      <c r="E42">
        <v>9.0800000000000006E-2</v>
      </c>
      <c r="F42" s="5">
        <f t="shared" si="0"/>
        <v>4.8700000000000007E-2</v>
      </c>
      <c r="G42" s="5">
        <f t="shared" si="1"/>
        <v>0.2857142857142857</v>
      </c>
      <c r="H42">
        <f t="shared" si="2"/>
        <v>43.658895238095241</v>
      </c>
    </row>
    <row r="43" spans="1:8">
      <c r="A43" s="1" t="s">
        <v>35</v>
      </c>
      <c r="B43" s="1" t="s">
        <v>29</v>
      </c>
      <c r="C43" s="1" t="s">
        <v>11</v>
      </c>
      <c r="D43" s="5">
        <v>0.16470000000000001</v>
      </c>
      <c r="E43">
        <v>9.0800000000000006E-2</v>
      </c>
      <c r="F43" s="5">
        <f t="shared" si="0"/>
        <v>7.3900000000000007E-2</v>
      </c>
      <c r="G43" s="5">
        <f t="shared" si="1"/>
        <v>0.2857142857142857</v>
      </c>
      <c r="H43">
        <f t="shared" si="2"/>
        <v>67.999695238095242</v>
      </c>
    </row>
    <row r="44" spans="1:8">
      <c r="A44" s="1" t="s">
        <v>35</v>
      </c>
      <c r="B44" s="1" t="s">
        <v>29</v>
      </c>
      <c r="C44" s="1" t="s">
        <v>13</v>
      </c>
      <c r="D44" s="5">
        <v>0.14050000000000001</v>
      </c>
      <c r="E44">
        <v>9.0800000000000006E-2</v>
      </c>
      <c r="F44" s="5">
        <f t="shared" si="0"/>
        <v>4.9700000000000008E-2</v>
      </c>
      <c r="G44" s="5">
        <f t="shared" si="1"/>
        <v>0.2857142857142857</v>
      </c>
      <c r="H44">
        <f t="shared" si="2"/>
        <v>44.6248</v>
      </c>
    </row>
    <row r="45" spans="1:8">
      <c r="A45" s="1" t="s">
        <v>35</v>
      </c>
      <c r="B45" s="1" t="s">
        <v>29</v>
      </c>
      <c r="C45" s="1" t="s">
        <v>14</v>
      </c>
      <c r="D45" s="5">
        <v>0.25290000000000001</v>
      </c>
      <c r="E45">
        <v>9.0800000000000006E-2</v>
      </c>
      <c r="F45" s="5">
        <f t="shared" si="0"/>
        <v>0.16210000000000002</v>
      </c>
      <c r="G45" s="5">
        <f t="shared" si="1"/>
        <v>0.2857142857142857</v>
      </c>
      <c r="H45">
        <f t="shared" si="2"/>
        <v>153.19249523809526</v>
      </c>
    </row>
    <row r="46" spans="1:8">
      <c r="A46" s="1" t="s">
        <v>35</v>
      </c>
      <c r="B46" s="1" t="s">
        <v>29</v>
      </c>
      <c r="C46" s="1" t="s">
        <v>15</v>
      </c>
      <c r="D46" s="5">
        <v>0.1787</v>
      </c>
      <c r="E46">
        <v>9.0800000000000006E-2</v>
      </c>
      <c r="F46" s="5">
        <f t="shared" si="0"/>
        <v>8.7899999999999992E-2</v>
      </c>
      <c r="G46" s="5">
        <f t="shared" si="1"/>
        <v>0.2857142857142857</v>
      </c>
      <c r="H46">
        <f t="shared" si="2"/>
        <v>81.522361904761908</v>
      </c>
    </row>
    <row r="47" spans="1:8">
      <c r="A47" s="1" t="s">
        <v>35</v>
      </c>
      <c r="B47" s="1" t="s">
        <v>29</v>
      </c>
      <c r="C47" s="1" t="s">
        <v>17</v>
      </c>
      <c r="D47" s="5">
        <v>0.14630000000000001</v>
      </c>
      <c r="E47">
        <v>9.0800000000000006E-2</v>
      </c>
      <c r="F47" s="5">
        <f t="shared" si="0"/>
        <v>5.5500000000000008E-2</v>
      </c>
      <c r="G47" s="5">
        <f t="shared" si="1"/>
        <v>0.2857142857142857</v>
      </c>
      <c r="H47">
        <f t="shared" si="2"/>
        <v>50.227047619047624</v>
      </c>
    </row>
    <row r="48" spans="1:8">
      <c r="A48" s="1" t="s">
        <v>35</v>
      </c>
      <c r="B48" s="1" t="s">
        <v>29</v>
      </c>
      <c r="C48" s="1" t="s">
        <v>18</v>
      </c>
      <c r="D48" s="5">
        <v>0.29730000000000001</v>
      </c>
      <c r="E48">
        <v>9.0800000000000006E-2</v>
      </c>
      <c r="F48" s="5">
        <f t="shared" si="0"/>
        <v>0.20650000000000002</v>
      </c>
      <c r="G48" s="5">
        <f t="shared" si="1"/>
        <v>0.2857142857142857</v>
      </c>
      <c r="H48">
        <f t="shared" si="2"/>
        <v>196.07866666666666</v>
      </c>
    </row>
    <row r="49" spans="1:8">
      <c r="A49" s="1" t="s">
        <v>35</v>
      </c>
      <c r="B49" s="1" t="s">
        <v>29</v>
      </c>
      <c r="C49" s="1" t="s">
        <v>19</v>
      </c>
      <c r="D49" s="5">
        <v>0.188</v>
      </c>
      <c r="E49">
        <v>9.0800000000000006E-2</v>
      </c>
      <c r="F49" s="5">
        <f t="shared" si="0"/>
        <v>9.7199999999999995E-2</v>
      </c>
      <c r="G49" s="5">
        <f t="shared" si="1"/>
        <v>0.2857142857142857</v>
      </c>
      <c r="H49">
        <f t="shared" si="2"/>
        <v>90.505276190476181</v>
      </c>
    </row>
    <row r="50" spans="1:8">
      <c r="A50" s="1" t="s">
        <v>35</v>
      </c>
      <c r="B50" s="1" t="s">
        <v>29</v>
      </c>
      <c r="C50" s="1" t="s">
        <v>21</v>
      </c>
      <c r="D50" s="5">
        <v>0.15720000000000001</v>
      </c>
      <c r="E50">
        <v>9.0800000000000006E-2</v>
      </c>
      <c r="F50" s="5">
        <f t="shared" si="0"/>
        <v>6.6400000000000001E-2</v>
      </c>
      <c r="G50" s="5">
        <f t="shared" si="1"/>
        <v>0.2857142857142857</v>
      </c>
      <c r="H50">
        <f t="shared" si="2"/>
        <v>60.755409523809512</v>
      </c>
    </row>
    <row r="51" spans="1:8">
      <c r="A51" s="1" t="s">
        <v>35</v>
      </c>
      <c r="B51" s="1" t="s">
        <v>29</v>
      </c>
      <c r="C51" s="1" t="s">
        <v>22</v>
      </c>
      <c r="D51" s="5">
        <v>0.1484</v>
      </c>
      <c r="E51">
        <v>9.0800000000000006E-2</v>
      </c>
      <c r="F51" s="5">
        <f t="shared" si="0"/>
        <v>5.7599999999999998E-2</v>
      </c>
      <c r="G51" s="5">
        <f t="shared" si="1"/>
        <v>0.2857142857142857</v>
      </c>
      <c r="H51">
        <f t="shared" si="2"/>
        <v>52.255447619047615</v>
      </c>
    </row>
    <row r="52" spans="1:8">
      <c r="A52" s="1" t="s">
        <v>35</v>
      </c>
      <c r="B52" s="1" t="s">
        <v>29</v>
      </c>
      <c r="C52" s="1" t="s">
        <v>23</v>
      </c>
      <c r="D52" s="5">
        <v>0.1719</v>
      </c>
      <c r="E52">
        <v>9.0800000000000006E-2</v>
      </c>
      <c r="F52" s="5">
        <f t="shared" si="0"/>
        <v>8.1099999999999992E-2</v>
      </c>
      <c r="G52" s="5">
        <f t="shared" si="1"/>
        <v>0.2857142857142857</v>
      </c>
      <c r="H52">
        <f t="shared" si="2"/>
        <v>74.95420952380951</v>
      </c>
    </row>
    <row r="53" spans="1:8">
      <c r="A53" s="1" t="s">
        <v>35</v>
      </c>
      <c r="B53" s="1" t="s">
        <v>29</v>
      </c>
      <c r="C53" s="1" t="s">
        <v>25</v>
      </c>
      <c r="D53" s="5">
        <v>0.15040000000000001</v>
      </c>
      <c r="E53">
        <v>9.0800000000000006E-2</v>
      </c>
      <c r="F53" s="5">
        <f t="shared" si="0"/>
        <v>5.96E-2</v>
      </c>
      <c r="G53" s="5">
        <f t="shared" si="1"/>
        <v>0.2857142857142857</v>
      </c>
      <c r="H53">
        <f t="shared" si="2"/>
        <v>54.187257142857142</v>
      </c>
    </row>
    <row r="54" spans="1:8">
      <c r="A54" s="1" t="s">
        <v>35</v>
      </c>
      <c r="B54" s="1" t="s">
        <v>29</v>
      </c>
      <c r="C54" s="1" t="s">
        <v>26</v>
      </c>
      <c r="D54" s="5">
        <v>0.20480000000000001</v>
      </c>
      <c r="E54">
        <v>9.0800000000000006E-2</v>
      </c>
      <c r="F54" s="5">
        <f t="shared" si="0"/>
        <v>0.114</v>
      </c>
      <c r="G54" s="5">
        <f t="shared" si="1"/>
        <v>0.2857142857142857</v>
      </c>
      <c r="H54">
        <f t="shared" si="2"/>
        <v>106.73247619047618</v>
      </c>
    </row>
    <row r="55" spans="1:8">
      <c r="A55" s="1" t="s">
        <v>35</v>
      </c>
      <c r="B55" s="1" t="s">
        <v>29</v>
      </c>
      <c r="C55" s="1" t="s">
        <v>27</v>
      </c>
      <c r="D55" s="5">
        <v>0.1762</v>
      </c>
      <c r="E55">
        <v>9.0800000000000006E-2</v>
      </c>
      <c r="F55" s="5">
        <f t="shared" si="0"/>
        <v>8.539999999999999E-2</v>
      </c>
      <c r="G55" s="5">
        <f t="shared" si="1"/>
        <v>0.2857142857142857</v>
      </c>
      <c r="H55">
        <f t="shared" si="2"/>
        <v>79.107599999999991</v>
      </c>
    </row>
    <row r="56" spans="1:8">
      <c r="A56" s="1" t="s">
        <v>35</v>
      </c>
      <c r="B56" s="1" t="s">
        <v>30</v>
      </c>
      <c r="C56" s="1" t="s">
        <v>5</v>
      </c>
      <c r="D56" s="5">
        <v>0.17233333333333301</v>
      </c>
      <c r="E56">
        <v>9.0800000000000006E-2</v>
      </c>
      <c r="F56" s="5">
        <f t="shared" si="0"/>
        <v>8.1533333333333E-2</v>
      </c>
      <c r="G56" s="5">
        <f t="shared" si="1"/>
        <v>0.2857142857142857</v>
      </c>
      <c r="H56">
        <f t="shared" si="2"/>
        <v>75.372768253967934</v>
      </c>
    </row>
    <row r="57" spans="1:8">
      <c r="A57" s="1" t="s">
        <v>35</v>
      </c>
      <c r="B57" s="1" t="s">
        <v>30</v>
      </c>
      <c r="C57" s="1" t="s">
        <v>6</v>
      </c>
      <c r="D57" s="5">
        <v>0.17253333333333301</v>
      </c>
      <c r="E57">
        <v>9.0800000000000006E-2</v>
      </c>
      <c r="F57" s="5">
        <f t="shared" si="0"/>
        <v>8.1733333333333005E-2</v>
      </c>
      <c r="G57" s="5">
        <f t="shared" si="1"/>
        <v>0.2857142857142857</v>
      </c>
      <c r="H57">
        <f t="shared" si="2"/>
        <v>75.565949206348876</v>
      </c>
    </row>
    <row r="58" spans="1:8">
      <c r="A58" s="1" t="s">
        <v>35</v>
      </c>
      <c r="B58" s="1" t="s">
        <v>30</v>
      </c>
      <c r="C58" s="1" t="s">
        <v>7</v>
      </c>
      <c r="D58" s="5">
        <v>0.15213333333333301</v>
      </c>
      <c r="E58">
        <v>9.0800000000000006E-2</v>
      </c>
      <c r="F58" s="5">
        <f t="shared" si="0"/>
        <v>6.1333333333333004E-2</v>
      </c>
      <c r="G58" s="5">
        <f t="shared" si="1"/>
        <v>0.2857142857142857</v>
      </c>
      <c r="H58">
        <f t="shared" si="2"/>
        <v>55.861492063491745</v>
      </c>
    </row>
    <row r="59" spans="1:8">
      <c r="A59" s="1" t="s">
        <v>35</v>
      </c>
      <c r="B59" s="1" t="s">
        <v>30</v>
      </c>
      <c r="C59" s="1" t="s">
        <v>9</v>
      </c>
      <c r="D59" s="5">
        <v>0.201333333333333</v>
      </c>
      <c r="E59">
        <v>9.0800000000000006E-2</v>
      </c>
      <c r="F59" s="5">
        <f t="shared" si="0"/>
        <v>0.110533333333333</v>
      </c>
      <c r="G59" s="5">
        <f t="shared" si="1"/>
        <v>0.2857142857142857</v>
      </c>
      <c r="H59">
        <f t="shared" si="2"/>
        <v>103.38400634920602</v>
      </c>
    </row>
    <row r="60" spans="1:8">
      <c r="A60" s="1" t="s">
        <v>35</v>
      </c>
      <c r="B60" s="1" t="s">
        <v>30</v>
      </c>
      <c r="C60" s="1" t="s">
        <v>10</v>
      </c>
      <c r="D60" s="5">
        <v>0.171833333333333</v>
      </c>
      <c r="E60">
        <v>9.0800000000000006E-2</v>
      </c>
      <c r="F60" s="5">
        <f t="shared" si="0"/>
        <v>8.1033333333332999E-2</v>
      </c>
      <c r="G60" s="5">
        <f t="shared" si="1"/>
        <v>0.2857142857142857</v>
      </c>
      <c r="H60">
        <f t="shared" si="2"/>
        <v>74.889815873015536</v>
      </c>
    </row>
    <row r="61" spans="1:8">
      <c r="A61" s="1" t="s">
        <v>35</v>
      </c>
      <c r="B61" s="1" t="s">
        <v>30</v>
      </c>
      <c r="C61" s="1" t="s">
        <v>11</v>
      </c>
      <c r="D61" s="5">
        <v>0.146133333333333</v>
      </c>
      <c r="E61">
        <v>9.0800000000000006E-2</v>
      </c>
      <c r="F61" s="5">
        <f t="shared" si="0"/>
        <v>5.5333333333332999E-2</v>
      </c>
      <c r="G61" s="5">
        <f t="shared" si="1"/>
        <v>0.2857142857142857</v>
      </c>
      <c r="H61">
        <f t="shared" si="2"/>
        <v>50.066063492063172</v>
      </c>
    </row>
    <row r="62" spans="1:8">
      <c r="A62" s="1" t="s">
        <v>35</v>
      </c>
      <c r="B62" s="1" t="s">
        <v>30</v>
      </c>
      <c r="C62" s="1" t="s">
        <v>13</v>
      </c>
      <c r="D62" s="5">
        <v>0.124833333333333</v>
      </c>
      <c r="E62">
        <v>9.0800000000000006E-2</v>
      </c>
      <c r="F62" s="5">
        <f t="shared" si="0"/>
        <v>3.4033333333332999E-2</v>
      </c>
      <c r="G62" s="5">
        <f t="shared" si="1"/>
        <v>0.2857142857142857</v>
      </c>
      <c r="H62">
        <f t="shared" si="2"/>
        <v>29.492292063491742</v>
      </c>
    </row>
    <row r="63" spans="1:8">
      <c r="A63" s="1" t="s">
        <v>35</v>
      </c>
      <c r="B63" s="1" t="s">
        <v>30</v>
      </c>
      <c r="C63" s="1" t="s">
        <v>14</v>
      </c>
      <c r="D63" s="5">
        <v>0.231133333333333</v>
      </c>
      <c r="E63">
        <v>9.0800000000000006E-2</v>
      </c>
      <c r="F63" s="5">
        <f t="shared" si="0"/>
        <v>0.14033333333333298</v>
      </c>
      <c r="G63" s="5">
        <f t="shared" si="1"/>
        <v>0.2857142857142857</v>
      </c>
      <c r="H63">
        <f t="shared" si="2"/>
        <v>132.1679682539679</v>
      </c>
    </row>
    <row r="64" spans="1:8">
      <c r="A64" s="1" t="s">
        <v>35</v>
      </c>
      <c r="B64" s="1" t="s">
        <v>30</v>
      </c>
      <c r="C64" s="1" t="s">
        <v>15</v>
      </c>
      <c r="D64" s="5">
        <v>0.15513333333333301</v>
      </c>
      <c r="E64">
        <v>9.0800000000000006E-2</v>
      </c>
      <c r="F64" s="5">
        <f t="shared" si="0"/>
        <v>6.4333333333333007E-2</v>
      </c>
      <c r="G64" s="5">
        <f t="shared" si="1"/>
        <v>0.2857142857142857</v>
      </c>
      <c r="H64">
        <f t="shared" si="2"/>
        <v>58.759206349206025</v>
      </c>
    </row>
    <row r="65" spans="1:8">
      <c r="A65" s="1" t="s">
        <v>35</v>
      </c>
      <c r="B65" s="1" t="s">
        <v>30</v>
      </c>
      <c r="C65" s="1" t="s">
        <v>17</v>
      </c>
      <c r="D65" s="5">
        <v>0.182733333333333</v>
      </c>
      <c r="E65">
        <v>9.0800000000000006E-2</v>
      </c>
      <c r="F65" s="5">
        <f t="shared" si="0"/>
        <v>9.1933333333332992E-2</v>
      </c>
      <c r="G65" s="5">
        <f t="shared" si="1"/>
        <v>0.2857142857142857</v>
      </c>
      <c r="H65">
        <f t="shared" si="2"/>
        <v>85.418177777777444</v>
      </c>
    </row>
    <row r="66" spans="1:8">
      <c r="A66" s="1" t="s">
        <v>35</v>
      </c>
      <c r="B66" s="1" t="s">
        <v>30</v>
      </c>
      <c r="C66" s="1" t="s">
        <v>18</v>
      </c>
      <c r="D66" s="5">
        <v>0.17473333333333299</v>
      </c>
      <c r="E66">
        <v>9.0800000000000006E-2</v>
      </c>
      <c r="F66" s="5">
        <f t="shared" si="0"/>
        <v>8.3933333333332985E-2</v>
      </c>
      <c r="G66" s="5">
        <f t="shared" si="1"/>
        <v>0.2857142857142857</v>
      </c>
      <c r="H66">
        <f t="shared" si="2"/>
        <v>77.690939682539337</v>
      </c>
    </row>
    <row r="67" spans="1:8">
      <c r="A67" s="1" t="s">
        <v>35</v>
      </c>
      <c r="B67" s="1" t="s">
        <v>30</v>
      </c>
      <c r="C67" s="1" t="s">
        <v>19</v>
      </c>
      <c r="D67" s="5">
        <v>0.13953333333333301</v>
      </c>
      <c r="E67">
        <v>9.0800000000000006E-2</v>
      </c>
      <c r="F67" s="5">
        <f t="shared" ref="F67:F130" si="3">D67-E67</f>
        <v>4.8733333333333004E-2</v>
      </c>
      <c r="G67" s="5">
        <f t="shared" ref="G67:G130" si="4">1/3.5</f>
        <v>0.2857142857142857</v>
      </c>
      <c r="H67">
        <f t="shared" ref="H67:H130" si="5">0.5071*(F67-0.0035)/0.15*G67*1000</f>
        <v>43.69109206349173</v>
      </c>
    </row>
    <row r="68" spans="1:8">
      <c r="A68" s="1" t="s">
        <v>35</v>
      </c>
      <c r="B68" s="1" t="s">
        <v>30</v>
      </c>
      <c r="C68" s="1" t="s">
        <v>21</v>
      </c>
      <c r="D68" s="5">
        <v>0.136333333333333</v>
      </c>
      <c r="E68">
        <v>9.0800000000000006E-2</v>
      </c>
      <c r="F68" s="5">
        <f t="shared" si="3"/>
        <v>4.5533333333332995E-2</v>
      </c>
      <c r="G68" s="5">
        <f t="shared" si="4"/>
        <v>0.2857142857142857</v>
      </c>
      <c r="H68">
        <f t="shared" si="5"/>
        <v>40.600196825396502</v>
      </c>
    </row>
    <row r="69" spans="1:8">
      <c r="A69" s="1" t="s">
        <v>35</v>
      </c>
      <c r="B69" s="1" t="s">
        <v>30</v>
      </c>
      <c r="C69" s="1" t="s">
        <v>22</v>
      </c>
      <c r="D69" s="5">
        <v>0.15163333333333301</v>
      </c>
      <c r="E69">
        <v>9.0800000000000006E-2</v>
      </c>
      <c r="F69" s="5">
        <f t="shared" si="3"/>
        <v>6.0833333333333003E-2</v>
      </c>
      <c r="G69" s="5">
        <f t="shared" si="4"/>
        <v>0.2857142857142857</v>
      </c>
      <c r="H69">
        <f t="shared" si="5"/>
        <v>55.378539682539362</v>
      </c>
    </row>
    <row r="70" spans="1:8">
      <c r="A70" s="1" t="s">
        <v>35</v>
      </c>
      <c r="B70" s="1" t="s">
        <v>30</v>
      </c>
      <c r="C70" s="1" t="s">
        <v>23</v>
      </c>
      <c r="D70" s="5">
        <v>0.244233333333333</v>
      </c>
      <c r="E70">
        <v>9.0800000000000006E-2</v>
      </c>
      <c r="F70" s="5">
        <f t="shared" si="3"/>
        <v>0.15343333333333298</v>
      </c>
      <c r="G70" s="5">
        <f t="shared" si="4"/>
        <v>0.2857142857142857</v>
      </c>
      <c r="H70">
        <f t="shared" si="5"/>
        <v>144.82132063492028</v>
      </c>
    </row>
    <row r="71" spans="1:8">
      <c r="A71" s="1" t="s">
        <v>35</v>
      </c>
      <c r="B71" s="1" t="s">
        <v>30</v>
      </c>
      <c r="C71" s="1" t="s">
        <v>25</v>
      </c>
      <c r="D71" s="5">
        <v>0.139633333333333</v>
      </c>
      <c r="E71">
        <v>9.0800000000000006E-2</v>
      </c>
      <c r="F71" s="5">
        <f t="shared" si="3"/>
        <v>4.8833333333332993E-2</v>
      </c>
      <c r="G71" s="5">
        <f t="shared" si="4"/>
        <v>0.2857142857142857</v>
      </c>
      <c r="H71">
        <f t="shared" si="5"/>
        <v>43.787682539682201</v>
      </c>
    </row>
    <row r="72" spans="1:8">
      <c r="A72" s="1" t="s">
        <v>35</v>
      </c>
      <c r="B72" s="1" t="s">
        <v>30</v>
      </c>
      <c r="C72" s="1" t="s">
        <v>26</v>
      </c>
      <c r="D72" s="5">
        <v>0.18333333333333299</v>
      </c>
      <c r="E72">
        <v>9.0800000000000006E-2</v>
      </c>
      <c r="F72" s="5">
        <f t="shared" si="3"/>
        <v>9.2533333333332982E-2</v>
      </c>
      <c r="G72" s="5">
        <f t="shared" si="4"/>
        <v>0.2857142857142857</v>
      </c>
      <c r="H72">
        <f t="shared" si="5"/>
        <v>85.997720634920299</v>
      </c>
    </row>
    <row r="73" spans="1:8">
      <c r="A73" s="1" t="s">
        <v>35</v>
      </c>
      <c r="B73" s="1" t="s">
        <v>30</v>
      </c>
      <c r="C73" s="1" t="s">
        <v>27</v>
      </c>
      <c r="D73" s="5">
        <v>0.16123333333333301</v>
      </c>
      <c r="E73">
        <v>9.0800000000000006E-2</v>
      </c>
      <c r="F73" s="5">
        <f t="shared" si="3"/>
        <v>7.0433333333333001E-2</v>
      </c>
      <c r="G73" s="5">
        <f t="shared" si="4"/>
        <v>0.2857142857142857</v>
      </c>
      <c r="H73">
        <f t="shared" si="5"/>
        <v>64.651225396825069</v>
      </c>
    </row>
    <row r="74" spans="1:8">
      <c r="A74" s="1" t="s">
        <v>35</v>
      </c>
      <c r="B74" s="1" t="s">
        <v>31</v>
      </c>
      <c r="C74" s="1" t="s">
        <v>5</v>
      </c>
      <c r="D74" s="5">
        <v>0.195066666666667</v>
      </c>
      <c r="E74">
        <v>9.0800000000000006E-2</v>
      </c>
      <c r="F74" s="5">
        <f t="shared" si="3"/>
        <v>0.10426666666666699</v>
      </c>
      <c r="G74" s="5">
        <f t="shared" si="4"/>
        <v>0.2857142857142857</v>
      </c>
      <c r="H74">
        <f t="shared" si="5"/>
        <v>97.331003174603481</v>
      </c>
    </row>
    <row r="75" spans="1:8">
      <c r="A75" s="1" t="s">
        <v>35</v>
      </c>
      <c r="B75" s="1" t="s">
        <v>31</v>
      </c>
      <c r="C75" s="1" t="s">
        <v>6</v>
      </c>
      <c r="D75" s="5">
        <v>0.14226666666666701</v>
      </c>
      <c r="E75">
        <v>9.0800000000000006E-2</v>
      </c>
      <c r="F75" s="5">
        <f t="shared" si="3"/>
        <v>5.1466666666667008E-2</v>
      </c>
      <c r="G75" s="5">
        <f t="shared" si="4"/>
        <v>0.2857142857142857</v>
      </c>
      <c r="H75">
        <f t="shared" si="5"/>
        <v>46.331231746032067</v>
      </c>
    </row>
    <row r="76" spans="1:8">
      <c r="A76" s="1" t="s">
        <v>35</v>
      </c>
      <c r="B76" s="1" t="s">
        <v>31</v>
      </c>
      <c r="C76" s="1" t="s">
        <v>7</v>
      </c>
      <c r="D76" s="5">
        <v>0.17206666666666701</v>
      </c>
      <c r="E76">
        <v>9.0800000000000006E-2</v>
      </c>
      <c r="F76" s="5">
        <f t="shared" si="3"/>
        <v>8.1266666666667001E-2</v>
      </c>
      <c r="G76" s="5">
        <f t="shared" si="4"/>
        <v>0.2857142857142857</v>
      </c>
      <c r="H76">
        <f t="shared" si="5"/>
        <v>75.115193650793984</v>
      </c>
    </row>
    <row r="77" spans="1:8">
      <c r="A77" s="1" t="s">
        <v>35</v>
      </c>
      <c r="B77" s="1" t="s">
        <v>31</v>
      </c>
      <c r="C77" s="1" t="s">
        <v>9</v>
      </c>
      <c r="D77" s="5">
        <v>0.176366666666667</v>
      </c>
      <c r="E77">
        <v>9.0800000000000006E-2</v>
      </c>
      <c r="F77" s="5">
        <f t="shared" si="3"/>
        <v>8.5566666666666999E-2</v>
      </c>
      <c r="G77" s="5">
        <f t="shared" si="4"/>
        <v>0.2857142857142857</v>
      </c>
      <c r="H77">
        <f t="shared" si="5"/>
        <v>79.268584126984436</v>
      </c>
    </row>
    <row r="78" spans="1:8">
      <c r="A78" s="1" t="s">
        <v>35</v>
      </c>
      <c r="B78" s="1" t="s">
        <v>31</v>
      </c>
      <c r="C78" s="1" t="s">
        <v>10</v>
      </c>
      <c r="D78" s="5">
        <v>0.13336666666666699</v>
      </c>
      <c r="E78">
        <v>9.0800000000000006E-2</v>
      </c>
      <c r="F78" s="5">
        <f t="shared" si="3"/>
        <v>4.2566666666666989E-2</v>
      </c>
      <c r="G78" s="5">
        <f t="shared" si="4"/>
        <v>0.2857142857142857</v>
      </c>
      <c r="H78">
        <f t="shared" si="5"/>
        <v>37.734679365079678</v>
      </c>
    </row>
    <row r="79" spans="1:8">
      <c r="A79" s="1" t="s">
        <v>35</v>
      </c>
      <c r="B79" s="1" t="s">
        <v>31</v>
      </c>
      <c r="C79" s="1" t="s">
        <v>11</v>
      </c>
      <c r="D79" s="5">
        <v>0.18866666666666701</v>
      </c>
      <c r="E79">
        <v>9.0800000000000006E-2</v>
      </c>
      <c r="F79" s="5">
        <f t="shared" si="3"/>
        <v>9.7866666666667004E-2</v>
      </c>
      <c r="G79" s="5">
        <f t="shared" si="4"/>
        <v>0.2857142857142857</v>
      </c>
      <c r="H79">
        <f t="shared" si="5"/>
        <v>91.149212698413024</v>
      </c>
    </row>
    <row r="80" spans="1:8">
      <c r="A80" s="1" t="s">
        <v>35</v>
      </c>
      <c r="B80" s="1" t="s">
        <v>31</v>
      </c>
      <c r="C80" s="1" t="s">
        <v>13</v>
      </c>
      <c r="D80" s="5">
        <v>0.236366666666667</v>
      </c>
      <c r="E80">
        <v>9.0800000000000006E-2</v>
      </c>
      <c r="F80" s="5">
        <f t="shared" si="3"/>
        <v>0.14556666666666701</v>
      </c>
      <c r="G80" s="5">
        <f t="shared" si="4"/>
        <v>0.2857142857142857</v>
      </c>
      <c r="H80">
        <f t="shared" si="5"/>
        <v>137.22286984127015</v>
      </c>
    </row>
    <row r="81" spans="1:8">
      <c r="A81" s="1" t="s">
        <v>35</v>
      </c>
      <c r="B81" s="1" t="s">
        <v>31</v>
      </c>
      <c r="C81" s="1" t="s">
        <v>14</v>
      </c>
      <c r="D81" s="5">
        <v>0.190266666666667</v>
      </c>
      <c r="E81">
        <v>9.0800000000000006E-2</v>
      </c>
      <c r="F81" s="5">
        <f t="shared" si="3"/>
        <v>9.9466666666666995E-2</v>
      </c>
      <c r="G81" s="5">
        <f t="shared" si="4"/>
        <v>0.2857142857142857</v>
      </c>
      <c r="H81">
        <f t="shared" si="5"/>
        <v>92.694660317460631</v>
      </c>
    </row>
    <row r="82" spans="1:8">
      <c r="A82" s="1" t="s">
        <v>35</v>
      </c>
      <c r="B82" s="1" t="s">
        <v>31</v>
      </c>
      <c r="C82" s="1" t="s">
        <v>15</v>
      </c>
      <c r="D82" s="5">
        <v>0.15986666666666699</v>
      </c>
      <c r="E82">
        <v>9.0800000000000006E-2</v>
      </c>
      <c r="F82" s="5">
        <f t="shared" si="3"/>
        <v>6.9066666666666984E-2</v>
      </c>
      <c r="G82" s="5">
        <f t="shared" si="4"/>
        <v>0.2857142857142857</v>
      </c>
      <c r="H82">
        <f t="shared" si="5"/>
        <v>63.331155555555853</v>
      </c>
    </row>
    <row r="83" spans="1:8">
      <c r="A83" s="1" t="s">
        <v>35</v>
      </c>
      <c r="B83" s="1" t="s">
        <v>31</v>
      </c>
      <c r="C83" s="1" t="s">
        <v>17</v>
      </c>
      <c r="D83" s="5">
        <v>0.137566666666667</v>
      </c>
      <c r="E83">
        <v>9.0800000000000006E-2</v>
      </c>
      <c r="F83" s="5">
        <f t="shared" si="3"/>
        <v>4.6766666666666998E-2</v>
      </c>
      <c r="G83" s="5">
        <f t="shared" si="4"/>
        <v>0.2857142857142857</v>
      </c>
      <c r="H83">
        <f t="shared" si="5"/>
        <v>41.791479365079674</v>
      </c>
    </row>
    <row r="84" spans="1:8">
      <c r="A84" s="1" t="s">
        <v>35</v>
      </c>
      <c r="B84" s="1" t="s">
        <v>31</v>
      </c>
      <c r="C84" s="1" t="s">
        <v>18</v>
      </c>
      <c r="D84" s="5">
        <v>0.14936666666666701</v>
      </c>
      <c r="E84">
        <v>9.0800000000000006E-2</v>
      </c>
      <c r="F84" s="5">
        <f t="shared" si="3"/>
        <v>5.8566666666667003E-2</v>
      </c>
      <c r="G84" s="5">
        <f t="shared" si="4"/>
        <v>0.2857142857142857</v>
      </c>
      <c r="H84">
        <f t="shared" si="5"/>
        <v>53.189155555555878</v>
      </c>
    </row>
    <row r="85" spans="1:8">
      <c r="A85" s="1" t="s">
        <v>35</v>
      </c>
      <c r="B85" s="1" t="s">
        <v>31</v>
      </c>
      <c r="C85" s="1" t="s">
        <v>19</v>
      </c>
      <c r="D85" s="5">
        <v>0.14726666666666699</v>
      </c>
      <c r="E85">
        <v>9.0800000000000006E-2</v>
      </c>
      <c r="F85" s="5">
        <f t="shared" si="3"/>
        <v>5.6466666666666984E-2</v>
      </c>
      <c r="G85" s="5">
        <f t="shared" si="4"/>
        <v>0.2857142857142857</v>
      </c>
      <c r="H85">
        <f t="shared" si="5"/>
        <v>51.160755555555859</v>
      </c>
    </row>
    <row r="86" spans="1:8">
      <c r="A86" s="1" t="s">
        <v>35</v>
      </c>
      <c r="B86" s="1" t="s">
        <v>31</v>
      </c>
      <c r="C86" s="1" t="s">
        <v>21</v>
      </c>
      <c r="D86" s="5">
        <v>0.168066666666667</v>
      </c>
      <c r="E86">
        <v>9.0800000000000006E-2</v>
      </c>
      <c r="F86" s="5">
        <f t="shared" si="3"/>
        <v>7.7266666666666997E-2</v>
      </c>
      <c r="G86" s="5">
        <f t="shared" si="4"/>
        <v>0.2857142857142857</v>
      </c>
      <c r="H86">
        <f t="shared" si="5"/>
        <v>71.251574603174916</v>
      </c>
    </row>
    <row r="87" spans="1:8">
      <c r="A87" s="1" t="s">
        <v>35</v>
      </c>
      <c r="B87" s="1" t="s">
        <v>31</v>
      </c>
      <c r="C87" s="1" t="s">
        <v>22</v>
      </c>
      <c r="D87" s="5">
        <v>0.150966666666667</v>
      </c>
      <c r="E87">
        <v>9.0800000000000006E-2</v>
      </c>
      <c r="F87" s="5">
        <f t="shared" si="3"/>
        <v>6.0166666666666993E-2</v>
      </c>
      <c r="G87" s="5">
        <f t="shared" si="4"/>
        <v>0.2857142857142857</v>
      </c>
      <c r="H87">
        <f t="shared" si="5"/>
        <v>54.734603174603478</v>
      </c>
    </row>
    <row r="88" spans="1:8">
      <c r="A88" s="1" t="s">
        <v>35</v>
      </c>
      <c r="B88" s="1" t="s">
        <v>31</v>
      </c>
      <c r="C88" s="1" t="s">
        <v>23</v>
      </c>
      <c r="D88" s="5">
        <v>0.165566666666667</v>
      </c>
      <c r="E88">
        <v>9.0800000000000006E-2</v>
      </c>
      <c r="F88" s="5">
        <f t="shared" si="3"/>
        <v>7.4766666666666995E-2</v>
      </c>
      <c r="G88" s="5">
        <f t="shared" si="4"/>
        <v>0.2857142857142857</v>
      </c>
      <c r="H88">
        <f t="shared" si="5"/>
        <v>68.836812698413013</v>
      </c>
    </row>
    <row r="89" spans="1:8">
      <c r="A89" s="1" t="s">
        <v>35</v>
      </c>
      <c r="B89" s="1" t="s">
        <v>31</v>
      </c>
      <c r="C89" s="1" t="s">
        <v>25</v>
      </c>
      <c r="D89" s="5">
        <v>0.24626666666666699</v>
      </c>
      <c r="E89">
        <v>9.0800000000000006E-2</v>
      </c>
      <c r="F89" s="5">
        <f t="shared" si="3"/>
        <v>0.15546666666666697</v>
      </c>
      <c r="G89" s="5">
        <f t="shared" si="4"/>
        <v>0.2857142857142857</v>
      </c>
      <c r="H89">
        <f t="shared" si="5"/>
        <v>146.78532698412727</v>
      </c>
    </row>
    <row r="90" spans="1:8">
      <c r="A90" s="1" t="s">
        <v>35</v>
      </c>
      <c r="B90" s="1" t="s">
        <v>31</v>
      </c>
      <c r="C90" s="1" t="s">
        <v>26</v>
      </c>
      <c r="D90" s="5">
        <v>0.17356666666666701</v>
      </c>
      <c r="E90">
        <v>9.0800000000000006E-2</v>
      </c>
      <c r="F90" s="5">
        <f t="shared" si="3"/>
        <v>8.2766666666667002E-2</v>
      </c>
      <c r="G90" s="5">
        <f t="shared" si="4"/>
        <v>0.2857142857142857</v>
      </c>
      <c r="H90">
        <f t="shared" si="5"/>
        <v>76.564050793651091</v>
      </c>
    </row>
    <row r="91" spans="1:8">
      <c r="A91" s="1" t="s">
        <v>35</v>
      </c>
      <c r="B91" s="1" t="s">
        <v>31</v>
      </c>
      <c r="C91" s="1" t="s">
        <v>27</v>
      </c>
      <c r="D91" s="5">
        <v>0.17226666666666701</v>
      </c>
      <c r="E91">
        <v>9.0800000000000006E-2</v>
      </c>
      <c r="F91" s="5">
        <f t="shared" si="3"/>
        <v>8.1466666666667006E-2</v>
      </c>
      <c r="G91" s="5">
        <f t="shared" si="4"/>
        <v>0.2857142857142857</v>
      </c>
      <c r="H91">
        <f t="shared" si="5"/>
        <v>75.308374603174926</v>
      </c>
    </row>
    <row r="92" spans="1:8">
      <c r="A92" s="1" t="s">
        <v>35</v>
      </c>
      <c r="B92" s="1" t="s">
        <v>32</v>
      </c>
      <c r="C92" s="2" t="s">
        <v>4</v>
      </c>
      <c r="D92" s="5">
        <v>0.16623333333333301</v>
      </c>
      <c r="E92">
        <v>9.0800000000000006E-2</v>
      </c>
      <c r="F92" s="5">
        <f t="shared" si="3"/>
        <v>7.5433333333333005E-2</v>
      </c>
      <c r="G92" s="5">
        <f t="shared" si="4"/>
        <v>0.2857142857142857</v>
      </c>
      <c r="H92">
        <f t="shared" si="5"/>
        <v>69.480749206348875</v>
      </c>
    </row>
    <row r="93" spans="1:8">
      <c r="A93" s="1" t="s">
        <v>35</v>
      </c>
      <c r="B93" s="1" t="s">
        <v>32</v>
      </c>
      <c r="C93" s="2" t="s">
        <v>6</v>
      </c>
      <c r="D93" s="5">
        <v>0.14333333333333301</v>
      </c>
      <c r="E93">
        <v>9.0800000000000006E-2</v>
      </c>
      <c r="F93" s="5">
        <f t="shared" si="3"/>
        <v>5.2533333333333002E-2</v>
      </c>
      <c r="G93" s="5">
        <f t="shared" si="4"/>
        <v>0.2857142857142857</v>
      </c>
      <c r="H93">
        <f t="shared" si="5"/>
        <v>47.361530158729835</v>
      </c>
    </row>
    <row r="94" spans="1:8">
      <c r="A94" s="1" t="s">
        <v>35</v>
      </c>
      <c r="B94" s="1" t="s">
        <v>32</v>
      </c>
      <c r="C94" s="2" t="s">
        <v>7</v>
      </c>
      <c r="D94" s="5">
        <v>0.164833333333333</v>
      </c>
      <c r="E94">
        <v>9.0800000000000006E-2</v>
      </c>
      <c r="F94" s="5">
        <f t="shared" si="3"/>
        <v>7.4033333333332993E-2</v>
      </c>
      <c r="G94" s="5">
        <f t="shared" si="4"/>
        <v>0.2857142857142857</v>
      </c>
      <c r="H94">
        <f t="shared" si="5"/>
        <v>68.12848253968221</v>
      </c>
    </row>
    <row r="95" spans="1:8">
      <c r="A95" s="1" t="s">
        <v>35</v>
      </c>
      <c r="B95" s="1" t="s">
        <v>32</v>
      </c>
      <c r="C95" s="2" t="s">
        <v>8</v>
      </c>
      <c r="D95" s="5">
        <v>0.22013333333333299</v>
      </c>
      <c r="E95">
        <v>9.0800000000000006E-2</v>
      </c>
      <c r="F95" s="5">
        <f t="shared" si="3"/>
        <v>0.12933333333333297</v>
      </c>
      <c r="G95" s="5">
        <f t="shared" si="4"/>
        <v>0.2857142857142857</v>
      </c>
      <c r="H95">
        <f t="shared" si="5"/>
        <v>121.54301587301549</v>
      </c>
    </row>
    <row r="96" spans="1:8">
      <c r="A96" s="1" t="s">
        <v>35</v>
      </c>
      <c r="B96" s="1" t="s">
        <v>32</v>
      </c>
      <c r="C96" s="2" t="s">
        <v>10</v>
      </c>
      <c r="D96" s="5">
        <v>0.12923333333333301</v>
      </c>
      <c r="E96">
        <v>9.0800000000000006E-2</v>
      </c>
      <c r="F96" s="5">
        <f t="shared" si="3"/>
        <v>3.8433333333333E-2</v>
      </c>
      <c r="G96" s="5">
        <f t="shared" si="4"/>
        <v>0.2857142857142857</v>
      </c>
      <c r="H96">
        <f t="shared" si="5"/>
        <v>33.742273015872691</v>
      </c>
    </row>
    <row r="97" spans="1:8">
      <c r="A97" s="1" t="s">
        <v>35</v>
      </c>
      <c r="B97" s="1" t="s">
        <v>32</v>
      </c>
      <c r="C97" s="2" t="s">
        <v>11</v>
      </c>
      <c r="D97" s="5">
        <v>0.14303333333333301</v>
      </c>
      <c r="E97">
        <v>9.0800000000000006E-2</v>
      </c>
      <c r="F97" s="5">
        <f t="shared" si="3"/>
        <v>5.2233333333333007E-2</v>
      </c>
      <c r="G97" s="5">
        <f t="shared" si="4"/>
        <v>0.2857142857142857</v>
      </c>
      <c r="H97">
        <f t="shared" si="5"/>
        <v>47.071758730158415</v>
      </c>
    </row>
    <row r="98" spans="1:8">
      <c r="A98" s="1" t="s">
        <v>35</v>
      </c>
      <c r="B98" s="1" t="s">
        <v>32</v>
      </c>
      <c r="C98" s="2" t="s">
        <v>12</v>
      </c>
      <c r="D98" s="5">
        <v>0.16643333333333299</v>
      </c>
      <c r="E98">
        <v>9.0800000000000006E-2</v>
      </c>
      <c r="F98" s="5">
        <f t="shared" si="3"/>
        <v>7.5633333333332983E-2</v>
      </c>
      <c r="G98" s="5">
        <f t="shared" si="4"/>
        <v>0.2857142857142857</v>
      </c>
      <c r="H98">
        <f t="shared" si="5"/>
        <v>69.673930158729817</v>
      </c>
    </row>
    <row r="99" spans="1:8">
      <c r="A99" s="1" t="s">
        <v>35</v>
      </c>
      <c r="B99" s="1" t="s">
        <v>32</v>
      </c>
      <c r="C99" s="2" t="s">
        <v>14</v>
      </c>
      <c r="D99" s="5">
        <v>0.202633333333333</v>
      </c>
      <c r="E99">
        <v>9.0800000000000006E-2</v>
      </c>
      <c r="F99" s="5">
        <f t="shared" si="3"/>
        <v>0.11183333333333299</v>
      </c>
      <c r="G99" s="5">
        <f t="shared" si="4"/>
        <v>0.2857142857142857</v>
      </c>
      <c r="H99">
        <f t="shared" si="5"/>
        <v>104.6396825396822</v>
      </c>
    </row>
    <row r="100" spans="1:8">
      <c r="A100" s="1" t="s">
        <v>35</v>
      </c>
      <c r="B100" s="1" t="s">
        <v>32</v>
      </c>
      <c r="C100" s="2" t="s">
        <v>15</v>
      </c>
      <c r="D100" s="5">
        <v>0.200833333333333</v>
      </c>
      <c r="E100">
        <v>9.0800000000000006E-2</v>
      </c>
      <c r="F100" s="5">
        <f t="shared" si="3"/>
        <v>0.110033333333333</v>
      </c>
      <c r="G100" s="5">
        <f t="shared" si="4"/>
        <v>0.2857142857142857</v>
      </c>
      <c r="H100">
        <f t="shared" si="5"/>
        <v>102.90105396825363</v>
      </c>
    </row>
    <row r="101" spans="1:8">
      <c r="A101" s="1" t="s">
        <v>35</v>
      </c>
      <c r="B101" s="1" t="s">
        <v>32</v>
      </c>
      <c r="C101" s="2" t="s">
        <v>16</v>
      </c>
      <c r="D101" s="5">
        <v>0.14533333333333301</v>
      </c>
      <c r="E101">
        <v>9.0800000000000006E-2</v>
      </c>
      <c r="F101" s="5">
        <f t="shared" si="3"/>
        <v>5.4533333333333003E-2</v>
      </c>
      <c r="G101" s="5">
        <f t="shared" si="4"/>
        <v>0.2857142857142857</v>
      </c>
      <c r="H101">
        <f t="shared" si="5"/>
        <v>49.293339682539361</v>
      </c>
    </row>
    <row r="102" spans="1:8">
      <c r="A102" s="1" t="s">
        <v>35</v>
      </c>
      <c r="B102" s="1" t="s">
        <v>32</v>
      </c>
      <c r="C102" s="2" t="s">
        <v>18</v>
      </c>
      <c r="D102" s="5">
        <v>0.17733333333333301</v>
      </c>
      <c r="E102">
        <v>9.0800000000000006E-2</v>
      </c>
      <c r="F102" s="5">
        <f t="shared" si="3"/>
        <v>8.6533333333333004E-2</v>
      </c>
      <c r="G102" s="5">
        <f t="shared" si="4"/>
        <v>0.2857142857142857</v>
      </c>
      <c r="H102">
        <f t="shared" si="5"/>
        <v>80.20229206349174</v>
      </c>
    </row>
    <row r="103" spans="1:8">
      <c r="A103" s="1" t="s">
        <v>35</v>
      </c>
      <c r="B103" s="1" t="s">
        <v>32</v>
      </c>
      <c r="C103" s="2" t="s">
        <v>19</v>
      </c>
      <c r="D103" s="5">
        <v>0.147933333333333</v>
      </c>
      <c r="E103">
        <v>9.0800000000000006E-2</v>
      </c>
      <c r="F103" s="5">
        <f t="shared" si="3"/>
        <v>5.7133333333332995E-2</v>
      </c>
      <c r="G103" s="5">
        <f t="shared" si="4"/>
        <v>0.2857142857142857</v>
      </c>
      <c r="H103">
        <f t="shared" si="5"/>
        <v>51.804692063491736</v>
      </c>
    </row>
    <row r="104" spans="1:8">
      <c r="A104" s="1" t="s">
        <v>35</v>
      </c>
      <c r="B104" s="1" t="s">
        <v>32</v>
      </c>
      <c r="C104" s="2" t="s">
        <v>20</v>
      </c>
      <c r="D104" s="5">
        <v>0.162533333333333</v>
      </c>
      <c r="E104">
        <v>9.0800000000000006E-2</v>
      </c>
      <c r="F104" s="5">
        <f t="shared" si="3"/>
        <v>7.1733333333332996E-2</v>
      </c>
      <c r="G104" s="5">
        <f t="shared" si="4"/>
        <v>0.2857142857142857</v>
      </c>
      <c r="H104">
        <f t="shared" si="5"/>
        <v>65.906901587301249</v>
      </c>
    </row>
    <row r="105" spans="1:8">
      <c r="A105" s="1" t="s">
        <v>35</v>
      </c>
      <c r="B105" s="1" t="s">
        <v>32</v>
      </c>
      <c r="C105" s="2" t="s">
        <v>22</v>
      </c>
      <c r="D105" s="5">
        <v>0.197333333333333</v>
      </c>
      <c r="E105">
        <v>9.0800000000000006E-2</v>
      </c>
      <c r="F105" s="5">
        <f t="shared" si="3"/>
        <v>0.10653333333333299</v>
      </c>
      <c r="G105" s="5">
        <f t="shared" si="4"/>
        <v>0.2857142857142857</v>
      </c>
      <c r="H105">
        <f t="shared" si="5"/>
        <v>99.520387301586979</v>
      </c>
    </row>
    <row r="106" spans="1:8">
      <c r="A106" s="1" t="s">
        <v>35</v>
      </c>
      <c r="B106" s="1" t="s">
        <v>32</v>
      </c>
      <c r="C106" s="2" t="s">
        <v>23</v>
      </c>
      <c r="D106" s="5">
        <v>0.13943333333333299</v>
      </c>
      <c r="E106">
        <v>9.0800000000000006E-2</v>
      </c>
      <c r="F106" s="5">
        <f t="shared" si="3"/>
        <v>4.8633333333332987E-2</v>
      </c>
      <c r="G106" s="5">
        <f t="shared" si="4"/>
        <v>0.2857142857142857</v>
      </c>
      <c r="H106">
        <f t="shared" si="5"/>
        <v>43.594501587301252</v>
      </c>
    </row>
    <row r="107" spans="1:8">
      <c r="A107" s="1" t="s">
        <v>35</v>
      </c>
      <c r="B107" s="1" t="s">
        <v>32</v>
      </c>
      <c r="C107" s="2" t="s">
        <v>24</v>
      </c>
      <c r="D107" s="5">
        <v>0.134333333333333</v>
      </c>
      <c r="E107">
        <v>9.0800000000000006E-2</v>
      </c>
      <c r="F107" s="5">
        <f t="shared" si="3"/>
        <v>4.3533333333332994E-2</v>
      </c>
      <c r="G107" s="5">
        <f t="shared" si="4"/>
        <v>0.2857142857142857</v>
      </c>
      <c r="H107">
        <f t="shared" si="5"/>
        <v>38.668387301586968</v>
      </c>
    </row>
    <row r="108" spans="1:8">
      <c r="A108" s="1" t="s">
        <v>35</v>
      </c>
      <c r="B108" s="1" t="s">
        <v>32</v>
      </c>
      <c r="C108" s="2" t="s">
        <v>26</v>
      </c>
      <c r="D108" s="5">
        <v>0.15363333333333301</v>
      </c>
      <c r="E108">
        <v>9.0800000000000006E-2</v>
      </c>
      <c r="F108" s="5">
        <f t="shared" si="3"/>
        <v>6.2833333333333005E-2</v>
      </c>
      <c r="G108" s="5">
        <f t="shared" si="4"/>
        <v>0.2857142857142857</v>
      </c>
      <c r="H108">
        <f t="shared" si="5"/>
        <v>57.310349206348889</v>
      </c>
    </row>
    <row r="109" spans="1:8">
      <c r="A109" s="1" t="s">
        <v>35</v>
      </c>
      <c r="B109" s="1" t="s">
        <v>32</v>
      </c>
      <c r="C109" s="2" t="s">
        <v>27</v>
      </c>
      <c r="D109" s="5">
        <v>0.15983333333333299</v>
      </c>
      <c r="E109">
        <v>9.0800000000000006E-2</v>
      </c>
      <c r="F109" s="5">
        <f t="shared" si="3"/>
        <v>6.9033333333332988E-2</v>
      </c>
      <c r="G109" s="5">
        <f t="shared" si="4"/>
        <v>0.2857142857142857</v>
      </c>
      <c r="H109">
        <f t="shared" si="5"/>
        <v>63.298958730158397</v>
      </c>
    </row>
    <row r="110" spans="1:8">
      <c r="A110" s="1" t="s">
        <v>35</v>
      </c>
      <c r="B110" s="1" t="s">
        <v>33</v>
      </c>
      <c r="C110" s="2" t="s">
        <v>4</v>
      </c>
      <c r="D110" s="5">
        <v>0.2049</v>
      </c>
      <c r="E110">
        <v>9.0800000000000006E-2</v>
      </c>
      <c r="F110" s="5">
        <f t="shared" si="3"/>
        <v>0.11409999999999999</v>
      </c>
      <c r="G110" s="5">
        <f t="shared" si="4"/>
        <v>0.2857142857142857</v>
      </c>
      <c r="H110">
        <f t="shared" si="5"/>
        <v>106.82906666666663</v>
      </c>
    </row>
    <row r="111" spans="1:8">
      <c r="A111" s="1" t="s">
        <v>35</v>
      </c>
      <c r="B111" s="1" t="s">
        <v>33</v>
      </c>
      <c r="C111" s="2" t="s">
        <v>6</v>
      </c>
      <c r="D111" s="5">
        <v>0.1651</v>
      </c>
      <c r="E111">
        <v>9.0800000000000006E-2</v>
      </c>
      <c r="F111" s="5">
        <f t="shared" si="3"/>
        <v>7.4299999999999991E-2</v>
      </c>
      <c r="G111" s="5">
        <f t="shared" si="4"/>
        <v>0.2857142857142857</v>
      </c>
      <c r="H111">
        <f t="shared" si="5"/>
        <v>68.386057142857126</v>
      </c>
    </row>
    <row r="112" spans="1:8">
      <c r="A112" s="1" t="s">
        <v>35</v>
      </c>
      <c r="B112" s="1" t="s">
        <v>33</v>
      </c>
      <c r="C112" s="2" t="s">
        <v>7</v>
      </c>
      <c r="D112" s="5">
        <v>0.14460000000000001</v>
      </c>
      <c r="E112">
        <v>9.0800000000000006E-2</v>
      </c>
      <c r="F112" s="5">
        <f t="shared" si="3"/>
        <v>5.3800000000000001E-2</v>
      </c>
      <c r="G112" s="5">
        <f t="shared" si="4"/>
        <v>0.2857142857142857</v>
      </c>
      <c r="H112">
        <f t="shared" si="5"/>
        <v>48.585009523809525</v>
      </c>
    </row>
    <row r="113" spans="1:8">
      <c r="A113" s="1" t="s">
        <v>35</v>
      </c>
      <c r="B113" s="1" t="s">
        <v>33</v>
      </c>
      <c r="C113" s="2" t="s">
        <v>8</v>
      </c>
      <c r="D113" s="5">
        <v>0.2291</v>
      </c>
      <c r="E113">
        <v>9.0800000000000006E-2</v>
      </c>
      <c r="F113" s="5">
        <f t="shared" si="3"/>
        <v>0.13829999999999998</v>
      </c>
      <c r="G113" s="5">
        <f t="shared" si="4"/>
        <v>0.2857142857142857</v>
      </c>
      <c r="H113">
        <f t="shared" si="5"/>
        <v>130.20396190476188</v>
      </c>
    </row>
    <row r="114" spans="1:8">
      <c r="A114" s="1" t="s">
        <v>35</v>
      </c>
      <c r="B114" s="1" t="s">
        <v>33</v>
      </c>
      <c r="C114" s="2" t="s">
        <v>10</v>
      </c>
      <c r="D114" s="5">
        <v>0.2064</v>
      </c>
      <c r="E114">
        <v>9.0800000000000006E-2</v>
      </c>
      <c r="F114" s="5">
        <f t="shared" si="3"/>
        <v>0.11559999999999999</v>
      </c>
      <c r="G114" s="5">
        <f t="shared" si="4"/>
        <v>0.2857142857142857</v>
      </c>
      <c r="H114">
        <f t="shared" si="5"/>
        <v>108.2779238095238</v>
      </c>
    </row>
    <row r="115" spans="1:8">
      <c r="A115" s="1" t="s">
        <v>35</v>
      </c>
      <c r="B115" s="1" t="s">
        <v>33</v>
      </c>
      <c r="C115" s="2" t="s">
        <v>11</v>
      </c>
      <c r="D115" s="5">
        <v>0.20580000000000001</v>
      </c>
      <c r="E115">
        <v>9.0800000000000006E-2</v>
      </c>
      <c r="F115" s="5">
        <f t="shared" si="3"/>
        <v>0.115</v>
      </c>
      <c r="G115" s="5">
        <f t="shared" si="4"/>
        <v>0.2857142857142857</v>
      </c>
      <c r="H115">
        <f t="shared" si="5"/>
        <v>107.69838095238094</v>
      </c>
    </row>
    <row r="116" spans="1:8">
      <c r="A116" s="1" t="s">
        <v>35</v>
      </c>
      <c r="B116" s="1" t="s">
        <v>33</v>
      </c>
      <c r="C116" s="2" t="s">
        <v>12</v>
      </c>
      <c r="D116" s="5">
        <v>0.1565</v>
      </c>
      <c r="E116">
        <v>9.0800000000000006E-2</v>
      </c>
      <c r="F116" s="5">
        <f t="shared" si="3"/>
        <v>6.5699999999999995E-2</v>
      </c>
      <c r="G116" s="5">
        <f t="shared" si="4"/>
        <v>0.2857142857142857</v>
      </c>
      <c r="H116">
        <f t="shared" si="5"/>
        <v>60.079276190476179</v>
      </c>
    </row>
    <row r="117" spans="1:8">
      <c r="A117" s="1" t="s">
        <v>35</v>
      </c>
      <c r="B117" s="1" t="s">
        <v>33</v>
      </c>
      <c r="C117" s="2" t="s">
        <v>14</v>
      </c>
      <c r="D117" s="5">
        <v>0.1837</v>
      </c>
      <c r="E117">
        <v>9.0800000000000006E-2</v>
      </c>
      <c r="F117" s="5">
        <f t="shared" si="3"/>
        <v>9.2899999999999996E-2</v>
      </c>
      <c r="G117" s="5">
        <f t="shared" si="4"/>
        <v>0.2857142857142857</v>
      </c>
      <c r="H117">
        <f t="shared" si="5"/>
        <v>86.3518857142857</v>
      </c>
    </row>
    <row r="118" spans="1:8">
      <c r="A118" s="1" t="s">
        <v>35</v>
      </c>
      <c r="B118" s="1" t="s">
        <v>33</v>
      </c>
      <c r="C118" s="2" t="s">
        <v>15</v>
      </c>
      <c r="D118" s="5">
        <v>0.15820000000000001</v>
      </c>
      <c r="E118">
        <v>9.0800000000000006E-2</v>
      </c>
      <c r="F118" s="5">
        <f t="shared" si="3"/>
        <v>6.7400000000000002E-2</v>
      </c>
      <c r="G118" s="5">
        <f t="shared" si="4"/>
        <v>0.2857142857142857</v>
      </c>
      <c r="H118">
        <f t="shared" si="5"/>
        <v>61.721314285714286</v>
      </c>
    </row>
    <row r="119" spans="1:8">
      <c r="A119" s="1" t="s">
        <v>35</v>
      </c>
      <c r="B119" s="1" t="s">
        <v>33</v>
      </c>
      <c r="C119" s="2" t="s">
        <v>16</v>
      </c>
      <c r="D119" s="5">
        <v>0.20880000000000001</v>
      </c>
      <c r="E119">
        <v>9.0800000000000006E-2</v>
      </c>
      <c r="F119" s="5">
        <f t="shared" si="3"/>
        <v>0.11800000000000001</v>
      </c>
      <c r="G119" s="5">
        <f t="shared" si="4"/>
        <v>0.2857142857142857</v>
      </c>
      <c r="H119">
        <f t="shared" si="5"/>
        <v>110.59609523809524</v>
      </c>
    </row>
    <row r="120" spans="1:8">
      <c r="A120" s="1" t="s">
        <v>35</v>
      </c>
      <c r="B120" s="1" t="s">
        <v>33</v>
      </c>
      <c r="C120" s="2" t="s">
        <v>18</v>
      </c>
      <c r="D120" s="5">
        <v>0.2457</v>
      </c>
      <c r="E120">
        <v>9.0800000000000006E-2</v>
      </c>
      <c r="F120" s="5">
        <f t="shared" si="3"/>
        <v>0.15489999999999998</v>
      </c>
      <c r="G120" s="5">
        <f t="shared" si="4"/>
        <v>0.2857142857142857</v>
      </c>
      <c r="H120">
        <f t="shared" si="5"/>
        <v>146.23798095238092</v>
      </c>
    </row>
    <row r="121" spans="1:8">
      <c r="A121" s="1" t="s">
        <v>35</v>
      </c>
      <c r="B121" s="1" t="s">
        <v>33</v>
      </c>
      <c r="C121" s="2" t="s">
        <v>19</v>
      </c>
      <c r="D121" s="5">
        <v>0.1988</v>
      </c>
      <c r="E121">
        <v>9.0800000000000006E-2</v>
      </c>
      <c r="F121" s="5">
        <f t="shared" si="3"/>
        <v>0.108</v>
      </c>
      <c r="G121" s="5">
        <f t="shared" si="4"/>
        <v>0.2857142857142857</v>
      </c>
      <c r="H121">
        <f t="shared" si="5"/>
        <v>100.9370476190476</v>
      </c>
    </row>
    <row r="122" spans="1:8">
      <c r="A122" s="1" t="s">
        <v>35</v>
      </c>
      <c r="B122" s="1" t="s">
        <v>33</v>
      </c>
      <c r="C122" s="2" t="s">
        <v>20</v>
      </c>
      <c r="D122" s="5">
        <v>0.1787</v>
      </c>
      <c r="E122">
        <v>9.0800000000000006E-2</v>
      </c>
      <c r="F122" s="5">
        <f t="shared" si="3"/>
        <v>8.7899999999999992E-2</v>
      </c>
      <c r="G122" s="5">
        <f t="shared" si="4"/>
        <v>0.2857142857142857</v>
      </c>
      <c r="H122">
        <f t="shared" si="5"/>
        <v>81.522361904761908</v>
      </c>
    </row>
    <row r="123" spans="1:8">
      <c r="A123" s="1" t="s">
        <v>35</v>
      </c>
      <c r="B123" s="1" t="s">
        <v>33</v>
      </c>
      <c r="C123" s="2" t="s">
        <v>22</v>
      </c>
      <c r="D123" s="5">
        <v>0.1583</v>
      </c>
      <c r="E123">
        <v>9.0800000000000006E-2</v>
      </c>
      <c r="F123" s="5">
        <f t="shared" si="3"/>
        <v>6.7499999999999991E-2</v>
      </c>
      <c r="G123" s="5">
        <f t="shared" si="4"/>
        <v>0.2857142857142857</v>
      </c>
      <c r="H123">
        <f t="shared" si="5"/>
        <v>61.817904761904757</v>
      </c>
    </row>
    <row r="124" spans="1:8">
      <c r="A124" s="1" t="s">
        <v>35</v>
      </c>
      <c r="B124" s="1" t="s">
        <v>33</v>
      </c>
      <c r="C124" s="2" t="s">
        <v>23</v>
      </c>
      <c r="D124" s="5">
        <v>0.1736</v>
      </c>
      <c r="E124">
        <v>9.0800000000000006E-2</v>
      </c>
      <c r="F124" s="5">
        <f t="shared" si="3"/>
        <v>8.2799999999999999E-2</v>
      </c>
      <c r="G124" s="5">
        <f t="shared" si="4"/>
        <v>0.2857142857142857</v>
      </c>
      <c r="H124">
        <f t="shared" si="5"/>
        <v>76.596247619047617</v>
      </c>
    </row>
    <row r="125" spans="1:8">
      <c r="A125" s="1" t="s">
        <v>35</v>
      </c>
      <c r="B125" s="1" t="s">
        <v>33</v>
      </c>
      <c r="C125" s="2" t="s">
        <v>24</v>
      </c>
      <c r="D125" s="5">
        <v>0.20949999999999999</v>
      </c>
      <c r="E125">
        <v>9.0800000000000006E-2</v>
      </c>
      <c r="F125" s="5">
        <f t="shared" si="3"/>
        <v>0.11869999999999999</v>
      </c>
      <c r="G125" s="5">
        <f t="shared" si="4"/>
        <v>0.2857142857142857</v>
      </c>
      <c r="H125">
        <f t="shared" si="5"/>
        <v>111.27222857142854</v>
      </c>
    </row>
    <row r="126" spans="1:8">
      <c r="A126" s="1" t="s">
        <v>35</v>
      </c>
      <c r="B126" s="1" t="s">
        <v>33</v>
      </c>
      <c r="C126" s="2" t="s">
        <v>26</v>
      </c>
      <c r="D126" s="5">
        <v>0.19009999999999999</v>
      </c>
      <c r="E126">
        <v>9.0800000000000006E-2</v>
      </c>
      <c r="F126" s="5">
        <f t="shared" si="3"/>
        <v>9.9299999999999986E-2</v>
      </c>
      <c r="G126" s="5">
        <f t="shared" si="4"/>
        <v>0.2857142857142857</v>
      </c>
      <c r="H126">
        <f t="shared" si="5"/>
        <v>92.533676190476172</v>
      </c>
    </row>
    <row r="127" spans="1:8">
      <c r="A127" s="1" t="s">
        <v>35</v>
      </c>
      <c r="B127" s="1" t="s">
        <v>33</v>
      </c>
      <c r="C127" s="2" t="s">
        <v>27</v>
      </c>
      <c r="D127" s="5">
        <v>0.2457</v>
      </c>
      <c r="E127">
        <v>9.0800000000000006E-2</v>
      </c>
      <c r="F127" s="5">
        <f t="shared" si="3"/>
        <v>0.15489999999999998</v>
      </c>
      <c r="G127" s="5">
        <f t="shared" si="4"/>
        <v>0.2857142857142857</v>
      </c>
      <c r="H127">
        <f t="shared" si="5"/>
        <v>146.23798095238092</v>
      </c>
    </row>
    <row r="128" spans="1:8">
      <c r="A128" s="1" t="s">
        <v>35</v>
      </c>
      <c r="B128" s="1" t="s">
        <v>34</v>
      </c>
      <c r="C128" s="2" t="s">
        <v>4</v>
      </c>
      <c r="D128" s="5">
        <v>0.19675000000000001</v>
      </c>
      <c r="E128">
        <v>9.0800000000000006E-2</v>
      </c>
      <c r="F128" s="5">
        <f t="shared" si="3"/>
        <v>0.10595</v>
      </c>
      <c r="G128" s="5">
        <f t="shared" si="4"/>
        <v>0.2857142857142857</v>
      </c>
      <c r="H128">
        <f t="shared" si="5"/>
        <v>98.956942857142863</v>
      </c>
    </row>
    <row r="129" spans="1:8">
      <c r="A129" s="1" t="s">
        <v>35</v>
      </c>
      <c r="B129" s="1" t="s">
        <v>34</v>
      </c>
      <c r="C129" s="2" t="s">
        <v>6</v>
      </c>
      <c r="D129" s="5">
        <v>0.14065</v>
      </c>
      <c r="E129">
        <v>9.0800000000000006E-2</v>
      </c>
      <c r="F129" s="5">
        <f t="shared" si="3"/>
        <v>4.9849999999999992E-2</v>
      </c>
      <c r="G129" s="5">
        <f t="shared" si="4"/>
        <v>0.2857142857142857</v>
      </c>
      <c r="H129">
        <f t="shared" si="5"/>
        <v>44.769685714285707</v>
      </c>
    </row>
    <row r="130" spans="1:8">
      <c r="A130" s="1" t="s">
        <v>35</v>
      </c>
      <c r="B130" s="1" t="s">
        <v>34</v>
      </c>
      <c r="C130" s="2" t="s">
        <v>7</v>
      </c>
      <c r="D130" s="5">
        <v>0.18395</v>
      </c>
      <c r="E130">
        <v>9.0800000000000006E-2</v>
      </c>
      <c r="F130" s="5">
        <f t="shared" si="3"/>
        <v>9.3149999999999997E-2</v>
      </c>
      <c r="G130" s="5">
        <f t="shared" si="4"/>
        <v>0.2857142857142857</v>
      </c>
      <c r="H130">
        <f t="shared" si="5"/>
        <v>86.593361904761892</v>
      </c>
    </row>
    <row r="131" spans="1:8">
      <c r="A131" s="1" t="s">
        <v>35</v>
      </c>
      <c r="B131" s="1" t="s">
        <v>34</v>
      </c>
      <c r="C131" s="2" t="s">
        <v>8</v>
      </c>
      <c r="D131" s="5">
        <v>0.18404999999999999</v>
      </c>
      <c r="E131">
        <v>9.0800000000000006E-2</v>
      </c>
      <c r="F131" s="5">
        <f t="shared" ref="F131:F194" si="6">D131-E131</f>
        <v>9.3249999999999986E-2</v>
      </c>
      <c r="G131" s="5">
        <f t="shared" ref="G131:G194" si="7">1/3.5</f>
        <v>0.2857142857142857</v>
      </c>
      <c r="H131">
        <f t="shared" ref="H131:H194" si="8">0.5071*(F131-0.0035)/0.15*G131*1000</f>
        <v>86.689952380952363</v>
      </c>
    </row>
    <row r="132" spans="1:8">
      <c r="A132" s="1" t="s">
        <v>35</v>
      </c>
      <c r="B132" s="1" t="s">
        <v>34</v>
      </c>
      <c r="C132" s="2" t="s">
        <v>10</v>
      </c>
      <c r="D132" s="5">
        <v>0.15035000000000001</v>
      </c>
      <c r="E132">
        <v>9.0800000000000006E-2</v>
      </c>
      <c r="F132" s="5">
        <f t="shared" si="6"/>
        <v>5.9550000000000006E-2</v>
      </c>
      <c r="G132" s="5">
        <f t="shared" si="7"/>
        <v>0.2857142857142857</v>
      </c>
      <c r="H132">
        <f t="shared" si="8"/>
        <v>54.138961904761906</v>
      </c>
    </row>
    <row r="133" spans="1:8">
      <c r="A133" s="1" t="s">
        <v>35</v>
      </c>
      <c r="B133" s="1" t="s">
        <v>34</v>
      </c>
      <c r="C133" s="2" t="s">
        <v>11</v>
      </c>
      <c r="D133" s="5">
        <v>0.17824999999999999</v>
      </c>
      <c r="E133">
        <v>9.0800000000000006E-2</v>
      </c>
      <c r="F133" s="5">
        <f t="shared" si="6"/>
        <v>8.7449999999999986E-2</v>
      </c>
      <c r="G133" s="5">
        <f t="shared" si="7"/>
        <v>0.2857142857142857</v>
      </c>
      <c r="H133">
        <f t="shared" si="8"/>
        <v>81.087704761904746</v>
      </c>
    </row>
    <row r="134" spans="1:8">
      <c r="A134" s="1" t="s">
        <v>35</v>
      </c>
      <c r="B134" s="1" t="s">
        <v>34</v>
      </c>
      <c r="C134" s="2" t="s">
        <v>12</v>
      </c>
      <c r="D134" s="5">
        <v>0.23585</v>
      </c>
      <c r="E134">
        <v>9.0800000000000006E-2</v>
      </c>
      <c r="F134" s="5">
        <f t="shared" si="6"/>
        <v>0.14505000000000001</v>
      </c>
      <c r="G134" s="5">
        <f t="shared" si="7"/>
        <v>0.2857142857142857</v>
      </c>
      <c r="H134">
        <f t="shared" si="8"/>
        <v>136.72381904761906</v>
      </c>
    </row>
    <row r="135" spans="1:8">
      <c r="A135" s="1" t="s">
        <v>35</v>
      </c>
      <c r="B135" s="1" t="s">
        <v>34</v>
      </c>
      <c r="C135" s="2" t="s">
        <v>14</v>
      </c>
      <c r="D135" s="5">
        <v>0.18245</v>
      </c>
      <c r="E135">
        <v>9.0800000000000006E-2</v>
      </c>
      <c r="F135" s="5">
        <f t="shared" si="6"/>
        <v>9.1649999999999995E-2</v>
      </c>
      <c r="G135" s="5">
        <f t="shared" si="7"/>
        <v>0.2857142857142857</v>
      </c>
      <c r="H135">
        <f t="shared" si="8"/>
        <v>85.144504761904741</v>
      </c>
    </row>
    <row r="136" spans="1:8">
      <c r="A136" s="1" t="s">
        <v>35</v>
      </c>
      <c r="B136" s="1" t="s">
        <v>34</v>
      </c>
      <c r="C136" s="2" t="s">
        <v>15</v>
      </c>
      <c r="D136" s="5">
        <v>0.16495000000000001</v>
      </c>
      <c r="E136">
        <v>9.0800000000000006E-2</v>
      </c>
      <c r="F136" s="5">
        <f t="shared" si="6"/>
        <v>7.4150000000000008E-2</v>
      </c>
      <c r="G136" s="5">
        <f t="shared" si="7"/>
        <v>0.2857142857142857</v>
      </c>
      <c r="H136">
        <f t="shared" si="8"/>
        <v>68.241171428571434</v>
      </c>
    </row>
    <row r="137" spans="1:8">
      <c r="A137" s="1" t="s">
        <v>35</v>
      </c>
      <c r="B137" s="1" t="s">
        <v>34</v>
      </c>
      <c r="C137" s="2" t="s">
        <v>16</v>
      </c>
      <c r="D137" s="5">
        <v>0.17385</v>
      </c>
      <c r="E137">
        <v>9.0800000000000006E-2</v>
      </c>
      <c r="F137" s="5">
        <f t="shared" si="6"/>
        <v>8.3049999999999999E-2</v>
      </c>
      <c r="G137" s="5">
        <f t="shared" si="7"/>
        <v>0.2857142857142857</v>
      </c>
      <c r="H137">
        <f t="shared" si="8"/>
        <v>76.837723809523808</v>
      </c>
    </row>
    <row r="138" spans="1:8">
      <c r="A138" s="1" t="s">
        <v>35</v>
      </c>
      <c r="B138" s="1" t="s">
        <v>34</v>
      </c>
      <c r="C138" s="2" t="s">
        <v>18</v>
      </c>
      <c r="D138" s="5">
        <v>0.21154999999999999</v>
      </c>
      <c r="E138">
        <v>9.0800000000000006E-2</v>
      </c>
      <c r="F138" s="5">
        <f t="shared" si="6"/>
        <v>0.12074999999999998</v>
      </c>
      <c r="G138" s="5">
        <f t="shared" si="7"/>
        <v>0.2857142857142857</v>
      </c>
      <c r="H138">
        <f t="shared" si="8"/>
        <v>113.25233333333331</v>
      </c>
    </row>
    <row r="139" spans="1:8">
      <c r="A139" s="1" t="s">
        <v>35</v>
      </c>
      <c r="B139" s="1" t="s">
        <v>34</v>
      </c>
      <c r="C139" s="2" t="s">
        <v>19</v>
      </c>
      <c r="D139" s="5">
        <v>0.21934999999999999</v>
      </c>
      <c r="E139">
        <v>9.0800000000000006E-2</v>
      </c>
      <c r="F139" s="5">
        <f t="shared" si="6"/>
        <v>0.12855</v>
      </c>
      <c r="G139" s="5">
        <f t="shared" si="7"/>
        <v>0.2857142857142857</v>
      </c>
      <c r="H139">
        <f t="shared" si="8"/>
        <v>120.78639047619046</v>
      </c>
    </row>
    <row r="140" spans="1:8">
      <c r="A140" s="1" t="s">
        <v>35</v>
      </c>
      <c r="B140" s="1" t="s">
        <v>34</v>
      </c>
      <c r="C140" s="2" t="s">
        <v>20</v>
      </c>
      <c r="D140" s="5">
        <v>0.20305000000000001</v>
      </c>
      <c r="E140">
        <v>9.0800000000000006E-2</v>
      </c>
      <c r="F140" s="5">
        <f t="shared" si="6"/>
        <v>0.11225</v>
      </c>
      <c r="G140" s="5">
        <f t="shared" si="7"/>
        <v>0.2857142857142857</v>
      </c>
      <c r="H140">
        <f t="shared" si="8"/>
        <v>105.04214285714286</v>
      </c>
    </row>
    <row r="141" spans="1:8">
      <c r="A141" s="1" t="s">
        <v>35</v>
      </c>
      <c r="B141" s="1" t="s">
        <v>34</v>
      </c>
      <c r="C141" s="2" t="s">
        <v>22</v>
      </c>
      <c r="D141" s="5">
        <v>0.18004999999999999</v>
      </c>
      <c r="E141">
        <v>9.0800000000000006E-2</v>
      </c>
      <c r="F141" s="5">
        <f t="shared" si="6"/>
        <v>8.9249999999999982E-2</v>
      </c>
      <c r="G141" s="5">
        <f t="shared" si="7"/>
        <v>0.2857142857142857</v>
      </c>
      <c r="H141">
        <f t="shared" si="8"/>
        <v>82.826333333333324</v>
      </c>
    </row>
    <row r="142" spans="1:8">
      <c r="A142" s="1" t="s">
        <v>35</v>
      </c>
      <c r="B142" s="1" t="s">
        <v>34</v>
      </c>
      <c r="C142" s="2" t="s">
        <v>23</v>
      </c>
      <c r="D142" s="5">
        <v>0.14305000000000001</v>
      </c>
      <c r="E142">
        <v>9.0800000000000006E-2</v>
      </c>
      <c r="F142" s="5">
        <f t="shared" si="6"/>
        <v>5.2250000000000005E-2</v>
      </c>
      <c r="G142" s="5">
        <f t="shared" si="7"/>
        <v>0.2857142857142857</v>
      </c>
      <c r="H142">
        <f t="shared" si="8"/>
        <v>47.087857142857139</v>
      </c>
    </row>
    <row r="143" spans="1:8">
      <c r="A143" s="1" t="s">
        <v>35</v>
      </c>
      <c r="B143" s="1" t="s">
        <v>34</v>
      </c>
      <c r="C143" s="2" t="s">
        <v>24</v>
      </c>
      <c r="D143" s="5">
        <v>0.26324999999999998</v>
      </c>
      <c r="E143">
        <v>9.0800000000000006E-2</v>
      </c>
      <c r="F143" s="5">
        <f t="shared" si="6"/>
        <v>0.17244999999999999</v>
      </c>
      <c r="G143" s="5">
        <f t="shared" si="7"/>
        <v>0.2857142857142857</v>
      </c>
      <c r="H143">
        <f t="shared" si="8"/>
        <v>163.18960952380951</v>
      </c>
    </row>
    <row r="144" spans="1:8">
      <c r="A144" s="1" t="s">
        <v>35</v>
      </c>
      <c r="B144" s="1" t="s">
        <v>34</v>
      </c>
      <c r="C144" s="2" t="s">
        <v>26</v>
      </c>
      <c r="D144" s="5">
        <v>0.17915</v>
      </c>
      <c r="E144">
        <v>9.0800000000000006E-2</v>
      </c>
      <c r="F144" s="5">
        <f t="shared" si="6"/>
        <v>8.8349999999999998E-2</v>
      </c>
      <c r="G144" s="5">
        <f t="shared" si="7"/>
        <v>0.2857142857142857</v>
      </c>
      <c r="H144">
        <f t="shared" si="8"/>
        <v>81.957019047619042</v>
      </c>
    </row>
    <row r="145" spans="1:8">
      <c r="A145" s="1" t="s">
        <v>35</v>
      </c>
      <c r="B145" s="1" t="s">
        <v>34</v>
      </c>
      <c r="C145" s="2" t="s">
        <v>27</v>
      </c>
      <c r="D145" s="5">
        <v>0.23344999999999999</v>
      </c>
      <c r="E145">
        <v>9.0800000000000006E-2</v>
      </c>
      <c r="F145" s="5">
        <f t="shared" si="6"/>
        <v>0.14265</v>
      </c>
      <c r="G145" s="5">
        <f t="shared" si="7"/>
        <v>0.2857142857142857</v>
      </c>
      <c r="H145">
        <f t="shared" si="8"/>
        <v>134.40564761904761</v>
      </c>
    </row>
    <row r="146" spans="1:8">
      <c r="A146" s="1" t="s">
        <v>36</v>
      </c>
      <c r="B146" s="1" t="s">
        <v>37</v>
      </c>
      <c r="C146" s="2" t="s">
        <v>4</v>
      </c>
      <c r="D146" s="5">
        <v>0.28184999999999999</v>
      </c>
      <c r="E146">
        <v>9.0800000000000006E-2</v>
      </c>
      <c r="F146" s="5">
        <f t="shared" si="6"/>
        <v>0.19105</v>
      </c>
      <c r="G146" s="5">
        <f t="shared" si="7"/>
        <v>0.2857142857142857</v>
      </c>
      <c r="H146">
        <f t="shared" si="8"/>
        <v>181.15543809523811</v>
      </c>
    </row>
    <row r="147" spans="1:8">
      <c r="A147" s="1" t="s">
        <v>36</v>
      </c>
      <c r="B147" s="1" t="s">
        <v>37</v>
      </c>
      <c r="C147" s="2" t="s">
        <v>6</v>
      </c>
      <c r="D147" s="5">
        <v>0.16635</v>
      </c>
      <c r="E147">
        <v>9.0800000000000006E-2</v>
      </c>
      <c r="F147" s="5">
        <f t="shared" si="6"/>
        <v>7.5549999999999992E-2</v>
      </c>
      <c r="G147" s="5">
        <f t="shared" si="7"/>
        <v>0.2857142857142857</v>
      </c>
      <c r="H147">
        <f t="shared" si="8"/>
        <v>69.593438095238071</v>
      </c>
    </row>
    <row r="148" spans="1:8">
      <c r="A148" s="1" t="s">
        <v>36</v>
      </c>
      <c r="B148" s="1" t="s">
        <v>37</v>
      </c>
      <c r="C148" s="2" t="s">
        <v>7</v>
      </c>
      <c r="D148" s="5">
        <v>0.23135</v>
      </c>
      <c r="E148">
        <v>9.0800000000000006E-2</v>
      </c>
      <c r="F148" s="5">
        <f t="shared" si="6"/>
        <v>0.14055000000000001</v>
      </c>
      <c r="G148" s="5">
        <f t="shared" si="7"/>
        <v>0.2857142857142857</v>
      </c>
      <c r="H148">
        <f t="shared" si="8"/>
        <v>132.37724761904761</v>
      </c>
    </row>
    <row r="149" spans="1:8">
      <c r="A149" s="1" t="s">
        <v>36</v>
      </c>
      <c r="B149" s="1" t="s">
        <v>37</v>
      </c>
      <c r="C149" s="2" t="s">
        <v>8</v>
      </c>
      <c r="D149" s="5">
        <v>0.21004999999999999</v>
      </c>
      <c r="E149">
        <v>9.0800000000000006E-2</v>
      </c>
      <c r="F149" s="5">
        <f t="shared" si="6"/>
        <v>0.11924999999999998</v>
      </c>
      <c r="G149" s="5">
        <f t="shared" si="7"/>
        <v>0.2857142857142857</v>
      </c>
      <c r="H149">
        <f t="shared" si="8"/>
        <v>111.80347619047616</v>
      </c>
    </row>
    <row r="150" spans="1:8">
      <c r="A150" s="1" t="s">
        <v>36</v>
      </c>
      <c r="B150" s="1" t="s">
        <v>37</v>
      </c>
      <c r="C150" s="2" t="s">
        <v>10</v>
      </c>
      <c r="D150" s="5">
        <v>0.25474999999999998</v>
      </c>
      <c r="E150">
        <v>9.0800000000000006E-2</v>
      </c>
      <c r="F150" s="5">
        <f t="shared" si="6"/>
        <v>0.16394999999999998</v>
      </c>
      <c r="G150" s="5">
        <f t="shared" si="7"/>
        <v>0.2857142857142857</v>
      </c>
      <c r="H150">
        <f t="shared" si="8"/>
        <v>154.97941904761902</v>
      </c>
    </row>
    <row r="151" spans="1:8">
      <c r="A151" s="1" t="s">
        <v>36</v>
      </c>
      <c r="B151" s="1" t="s">
        <v>37</v>
      </c>
      <c r="C151" s="2" t="s">
        <v>11</v>
      </c>
      <c r="D151" s="5">
        <v>0.19535</v>
      </c>
      <c r="E151">
        <v>9.0800000000000006E-2</v>
      </c>
      <c r="F151" s="5">
        <f t="shared" si="6"/>
        <v>0.10454999999999999</v>
      </c>
      <c r="G151" s="5">
        <f t="shared" si="7"/>
        <v>0.2857142857142857</v>
      </c>
      <c r="H151">
        <f t="shared" si="8"/>
        <v>97.604676190476169</v>
      </c>
    </row>
    <row r="152" spans="1:8">
      <c r="A152" s="1" t="s">
        <v>36</v>
      </c>
      <c r="B152" s="1" t="s">
        <v>37</v>
      </c>
      <c r="C152" s="2" t="s">
        <v>12</v>
      </c>
      <c r="D152" s="5">
        <v>0.22755</v>
      </c>
      <c r="E152">
        <v>9.0800000000000006E-2</v>
      </c>
      <c r="F152" s="5">
        <f t="shared" si="6"/>
        <v>0.13674999999999998</v>
      </c>
      <c r="G152" s="5">
        <f t="shared" si="7"/>
        <v>0.2857142857142857</v>
      </c>
      <c r="H152">
        <f t="shared" si="8"/>
        <v>128.70680952380951</v>
      </c>
    </row>
    <row r="153" spans="1:8">
      <c r="A153" s="1" t="s">
        <v>36</v>
      </c>
      <c r="B153" s="1" t="s">
        <v>37</v>
      </c>
      <c r="C153" s="2" t="s">
        <v>14</v>
      </c>
      <c r="D153" s="5">
        <v>0.24525</v>
      </c>
      <c r="E153">
        <v>9.0800000000000006E-2</v>
      </c>
      <c r="F153" s="5">
        <f t="shared" si="6"/>
        <v>0.15444999999999998</v>
      </c>
      <c r="G153" s="5">
        <f t="shared" si="7"/>
        <v>0.2857142857142857</v>
      </c>
      <c r="H153">
        <f t="shared" si="8"/>
        <v>145.80332380952379</v>
      </c>
    </row>
    <row r="154" spans="1:8">
      <c r="A154" s="1" t="s">
        <v>36</v>
      </c>
      <c r="B154" s="1" t="s">
        <v>37</v>
      </c>
      <c r="C154" s="2" t="s">
        <v>15</v>
      </c>
      <c r="D154" s="5">
        <v>0.23624999999999999</v>
      </c>
      <c r="E154">
        <v>9.0800000000000006E-2</v>
      </c>
      <c r="F154" s="5">
        <f t="shared" si="6"/>
        <v>0.14544999999999997</v>
      </c>
      <c r="G154" s="5">
        <f t="shared" si="7"/>
        <v>0.2857142857142857</v>
      </c>
      <c r="H154">
        <f t="shared" si="8"/>
        <v>137.11018095238089</v>
      </c>
    </row>
    <row r="155" spans="1:8">
      <c r="A155" s="1" t="s">
        <v>36</v>
      </c>
      <c r="B155" s="1" t="s">
        <v>37</v>
      </c>
      <c r="C155" s="2" t="s">
        <v>16</v>
      </c>
      <c r="D155" s="5">
        <v>0.23335</v>
      </c>
      <c r="E155">
        <v>9.0800000000000006E-2</v>
      </c>
      <c r="F155" s="5">
        <f t="shared" si="6"/>
        <v>0.14255000000000001</v>
      </c>
      <c r="G155" s="5">
        <f t="shared" si="7"/>
        <v>0.2857142857142857</v>
      </c>
      <c r="H155">
        <f t="shared" si="8"/>
        <v>134.30905714285711</v>
      </c>
    </row>
    <row r="156" spans="1:8">
      <c r="A156" s="1" t="s">
        <v>36</v>
      </c>
      <c r="B156" s="1" t="s">
        <v>37</v>
      </c>
      <c r="C156" s="2" t="s">
        <v>18</v>
      </c>
      <c r="D156" s="5">
        <v>0.20444999999999999</v>
      </c>
      <c r="E156">
        <v>9.0800000000000006E-2</v>
      </c>
      <c r="F156" s="5">
        <f t="shared" si="6"/>
        <v>0.11364999999999999</v>
      </c>
      <c r="G156" s="5">
        <f t="shared" si="7"/>
        <v>0.2857142857142857</v>
      </c>
      <c r="H156">
        <f t="shared" si="8"/>
        <v>106.39440952380949</v>
      </c>
    </row>
    <row r="157" spans="1:8">
      <c r="A157" s="1" t="s">
        <v>36</v>
      </c>
      <c r="B157" s="1" t="s">
        <v>37</v>
      </c>
      <c r="C157" s="2" t="s">
        <v>19</v>
      </c>
      <c r="D157" s="5">
        <v>0.21254999999999999</v>
      </c>
      <c r="E157">
        <v>9.0800000000000006E-2</v>
      </c>
      <c r="F157" s="5">
        <f t="shared" si="6"/>
        <v>0.12174999999999998</v>
      </c>
      <c r="G157" s="5">
        <f t="shared" si="7"/>
        <v>0.2857142857142857</v>
      </c>
      <c r="H157">
        <f t="shared" si="8"/>
        <v>114.21823809523808</v>
      </c>
    </row>
    <row r="158" spans="1:8">
      <c r="A158" s="1" t="s">
        <v>36</v>
      </c>
      <c r="B158" s="1" t="s">
        <v>37</v>
      </c>
      <c r="C158" s="2" t="s">
        <v>20</v>
      </c>
      <c r="D158" s="5">
        <v>0.20415</v>
      </c>
      <c r="E158">
        <v>9.0800000000000006E-2</v>
      </c>
      <c r="F158" s="5">
        <f t="shared" si="6"/>
        <v>0.11334999999999999</v>
      </c>
      <c r="G158" s="5">
        <f t="shared" si="7"/>
        <v>0.2857142857142857</v>
      </c>
      <c r="H158">
        <f t="shared" si="8"/>
        <v>106.1046380952381</v>
      </c>
    </row>
    <row r="159" spans="1:8">
      <c r="A159" s="1" t="s">
        <v>36</v>
      </c>
      <c r="B159" s="1" t="s">
        <v>37</v>
      </c>
      <c r="C159" s="2" t="s">
        <v>22</v>
      </c>
      <c r="D159" s="5">
        <v>0.19305</v>
      </c>
      <c r="E159">
        <v>9.0800000000000006E-2</v>
      </c>
      <c r="F159" s="5">
        <f t="shared" si="6"/>
        <v>0.10224999999999999</v>
      </c>
      <c r="G159" s="5">
        <f t="shared" si="7"/>
        <v>0.2857142857142857</v>
      </c>
      <c r="H159">
        <f t="shared" si="8"/>
        <v>95.383095238095223</v>
      </c>
    </row>
    <row r="160" spans="1:8">
      <c r="A160" s="1" t="s">
        <v>36</v>
      </c>
      <c r="B160" s="1" t="s">
        <v>37</v>
      </c>
      <c r="C160" s="2" t="s">
        <v>23</v>
      </c>
      <c r="D160" s="5">
        <v>0.19384999999999999</v>
      </c>
      <c r="E160">
        <v>9.0800000000000006E-2</v>
      </c>
      <c r="F160" s="5">
        <f t="shared" si="6"/>
        <v>0.10304999999999999</v>
      </c>
      <c r="G160" s="5">
        <f t="shared" si="7"/>
        <v>0.2857142857142857</v>
      </c>
      <c r="H160">
        <f t="shared" si="8"/>
        <v>96.155819047619019</v>
      </c>
    </row>
    <row r="161" spans="1:8">
      <c r="A161" s="1" t="s">
        <v>36</v>
      </c>
      <c r="B161" s="1" t="s">
        <v>37</v>
      </c>
      <c r="C161" s="2" t="s">
        <v>24</v>
      </c>
      <c r="D161" s="5">
        <v>0.16985</v>
      </c>
      <c r="E161">
        <v>9.0800000000000006E-2</v>
      </c>
      <c r="F161" s="5">
        <f t="shared" si="6"/>
        <v>7.9049999999999995E-2</v>
      </c>
      <c r="G161" s="5">
        <f t="shared" si="7"/>
        <v>0.2857142857142857</v>
      </c>
      <c r="H161">
        <f t="shared" si="8"/>
        <v>72.974104761904741</v>
      </c>
    </row>
    <row r="162" spans="1:8">
      <c r="A162" s="1" t="s">
        <v>36</v>
      </c>
      <c r="B162" s="1" t="s">
        <v>37</v>
      </c>
      <c r="C162" s="2" t="s">
        <v>26</v>
      </c>
      <c r="D162" s="5">
        <v>0.24315000000000001</v>
      </c>
      <c r="E162">
        <v>9.0800000000000006E-2</v>
      </c>
      <c r="F162" s="5">
        <f t="shared" si="6"/>
        <v>0.15234999999999999</v>
      </c>
      <c r="G162" s="5">
        <f t="shared" si="7"/>
        <v>0.2857142857142857</v>
      </c>
      <c r="H162">
        <f t="shared" si="8"/>
        <v>143.77492380952381</v>
      </c>
    </row>
    <row r="163" spans="1:8">
      <c r="A163" s="1" t="s">
        <v>36</v>
      </c>
      <c r="B163" s="1" t="s">
        <v>37</v>
      </c>
      <c r="C163" s="2" t="s">
        <v>27</v>
      </c>
      <c r="D163" s="5">
        <v>0.16395000000000001</v>
      </c>
      <c r="E163">
        <v>9.0800000000000006E-2</v>
      </c>
      <c r="F163" s="5">
        <f t="shared" si="6"/>
        <v>7.3150000000000007E-2</v>
      </c>
      <c r="G163" s="5">
        <f t="shared" si="7"/>
        <v>0.2857142857142857</v>
      </c>
      <c r="H163">
        <f t="shared" si="8"/>
        <v>67.275266666666667</v>
      </c>
    </row>
    <row r="164" spans="1:8">
      <c r="A164" s="1" t="s">
        <v>36</v>
      </c>
      <c r="B164" s="1" t="s">
        <v>38</v>
      </c>
      <c r="C164" s="2" t="s">
        <v>4</v>
      </c>
      <c r="D164" s="5">
        <v>0.20508333333333301</v>
      </c>
      <c r="E164">
        <v>9.0800000000000006E-2</v>
      </c>
      <c r="F164" s="5">
        <f t="shared" si="6"/>
        <v>0.114283333333333</v>
      </c>
      <c r="G164" s="5">
        <f t="shared" si="7"/>
        <v>0.2857142857142857</v>
      </c>
      <c r="H164">
        <f t="shared" si="8"/>
        <v>107.00614920634889</v>
      </c>
    </row>
    <row r="165" spans="1:8">
      <c r="A165" s="1" t="s">
        <v>36</v>
      </c>
      <c r="B165" s="1" t="s">
        <v>38</v>
      </c>
      <c r="C165" s="2" t="s">
        <v>6</v>
      </c>
      <c r="D165" s="5">
        <v>0.13878333333333301</v>
      </c>
      <c r="E165">
        <v>9.0800000000000006E-2</v>
      </c>
      <c r="F165" s="5">
        <f t="shared" si="6"/>
        <v>4.7983333333333003E-2</v>
      </c>
      <c r="G165" s="5">
        <f t="shared" si="7"/>
        <v>0.2857142857142857</v>
      </c>
      <c r="H165">
        <f t="shared" si="8"/>
        <v>42.966663492063176</v>
      </c>
    </row>
    <row r="166" spans="1:8">
      <c r="A166" s="1" t="s">
        <v>36</v>
      </c>
      <c r="B166" s="1" t="s">
        <v>38</v>
      </c>
      <c r="C166" s="2" t="s">
        <v>7</v>
      </c>
      <c r="D166" s="5">
        <v>0.234883333333333</v>
      </c>
      <c r="E166">
        <v>9.0800000000000006E-2</v>
      </c>
      <c r="F166" s="5">
        <f t="shared" si="6"/>
        <v>0.14408333333333301</v>
      </c>
      <c r="G166" s="5">
        <f t="shared" si="7"/>
        <v>0.2857142857142857</v>
      </c>
      <c r="H166">
        <f t="shared" si="8"/>
        <v>135.79011111111078</v>
      </c>
    </row>
    <row r="167" spans="1:8">
      <c r="A167" s="1" t="s">
        <v>36</v>
      </c>
      <c r="B167" s="1" t="s">
        <v>38</v>
      </c>
      <c r="C167" s="2" t="s">
        <v>8</v>
      </c>
      <c r="D167" s="5">
        <v>0.205383333333333</v>
      </c>
      <c r="E167">
        <v>9.0800000000000006E-2</v>
      </c>
      <c r="F167" s="5">
        <f t="shared" si="6"/>
        <v>0.114583333333333</v>
      </c>
      <c r="G167" s="5">
        <f t="shared" si="7"/>
        <v>0.2857142857142857</v>
      </c>
      <c r="H167">
        <f t="shared" si="8"/>
        <v>107.29592063492029</v>
      </c>
    </row>
    <row r="168" spans="1:8">
      <c r="A168" s="1" t="s">
        <v>36</v>
      </c>
      <c r="B168" s="1" t="s">
        <v>38</v>
      </c>
      <c r="C168" s="2" t="s">
        <v>10</v>
      </c>
      <c r="D168" s="5">
        <v>0.230383333333333</v>
      </c>
      <c r="E168">
        <v>9.0800000000000006E-2</v>
      </c>
      <c r="F168" s="5">
        <f t="shared" si="6"/>
        <v>0.139583333333333</v>
      </c>
      <c r="G168" s="5">
        <f t="shared" si="7"/>
        <v>0.2857142857142857</v>
      </c>
      <c r="H168">
        <f t="shared" si="8"/>
        <v>131.44353968253932</v>
      </c>
    </row>
    <row r="169" spans="1:8">
      <c r="A169" s="1" t="s">
        <v>36</v>
      </c>
      <c r="B169" s="1" t="s">
        <v>38</v>
      </c>
      <c r="C169" s="2" t="s">
        <v>11</v>
      </c>
      <c r="D169" s="5">
        <v>0.17578333333333299</v>
      </c>
      <c r="E169">
        <v>9.0800000000000006E-2</v>
      </c>
      <c r="F169" s="5">
        <f t="shared" si="6"/>
        <v>8.498333333333298E-2</v>
      </c>
      <c r="G169" s="5">
        <f t="shared" si="7"/>
        <v>0.2857142857142857</v>
      </c>
      <c r="H169">
        <f t="shared" si="8"/>
        <v>78.705139682539354</v>
      </c>
    </row>
    <row r="170" spans="1:8">
      <c r="A170" s="1" t="s">
        <v>36</v>
      </c>
      <c r="B170" s="1" t="s">
        <v>38</v>
      </c>
      <c r="C170" s="2" t="s">
        <v>12</v>
      </c>
      <c r="D170" s="5">
        <v>0.16008333333333299</v>
      </c>
      <c r="E170">
        <v>9.0800000000000006E-2</v>
      </c>
      <c r="F170" s="5">
        <f t="shared" si="6"/>
        <v>6.9283333333332989E-2</v>
      </c>
      <c r="G170" s="5">
        <f t="shared" si="7"/>
        <v>0.2857142857142857</v>
      </c>
      <c r="H170">
        <f t="shared" si="8"/>
        <v>63.540434920634588</v>
      </c>
    </row>
    <row r="171" spans="1:8">
      <c r="A171" s="1" t="s">
        <v>36</v>
      </c>
      <c r="B171" s="1" t="s">
        <v>38</v>
      </c>
      <c r="C171" s="2" t="s">
        <v>14</v>
      </c>
      <c r="D171" s="5">
        <v>0.21808333333333299</v>
      </c>
      <c r="E171">
        <v>9.0800000000000006E-2</v>
      </c>
      <c r="F171" s="5">
        <f t="shared" si="6"/>
        <v>0.12728333333333297</v>
      </c>
      <c r="G171" s="5">
        <f t="shared" si="7"/>
        <v>0.2857142857142857</v>
      </c>
      <c r="H171">
        <f t="shared" si="8"/>
        <v>119.56291111111075</v>
      </c>
    </row>
    <row r="172" spans="1:8">
      <c r="A172" s="1" t="s">
        <v>36</v>
      </c>
      <c r="B172" s="1" t="s">
        <v>38</v>
      </c>
      <c r="C172" s="2" t="s">
        <v>15</v>
      </c>
      <c r="D172" s="5">
        <v>0.25078333333333303</v>
      </c>
      <c r="E172">
        <v>9.0800000000000006E-2</v>
      </c>
      <c r="F172" s="5">
        <f t="shared" si="6"/>
        <v>0.15998333333333303</v>
      </c>
      <c r="G172" s="5">
        <f t="shared" si="7"/>
        <v>0.2857142857142857</v>
      </c>
      <c r="H172">
        <f t="shared" si="8"/>
        <v>151.14799682539652</v>
      </c>
    </row>
    <row r="173" spans="1:8">
      <c r="A173" s="1" t="s">
        <v>36</v>
      </c>
      <c r="B173" s="1" t="s">
        <v>38</v>
      </c>
      <c r="C173" s="2" t="s">
        <v>16</v>
      </c>
      <c r="D173" s="5">
        <v>0.20958333333333301</v>
      </c>
      <c r="E173">
        <v>9.0800000000000006E-2</v>
      </c>
      <c r="F173" s="5">
        <f t="shared" si="6"/>
        <v>0.118783333333333</v>
      </c>
      <c r="G173" s="5">
        <f t="shared" si="7"/>
        <v>0.2857142857142857</v>
      </c>
      <c r="H173">
        <f t="shared" si="8"/>
        <v>111.35272063492032</v>
      </c>
    </row>
    <row r="174" spans="1:8">
      <c r="A174" s="1" t="s">
        <v>36</v>
      </c>
      <c r="B174" s="1" t="s">
        <v>38</v>
      </c>
      <c r="C174" s="2" t="s">
        <v>18</v>
      </c>
      <c r="D174" s="5">
        <v>0.231083333333333</v>
      </c>
      <c r="E174">
        <v>9.0800000000000006E-2</v>
      </c>
      <c r="F174" s="5">
        <f t="shared" si="6"/>
        <v>0.14028333333333298</v>
      </c>
      <c r="G174" s="5">
        <f t="shared" si="7"/>
        <v>0.2857142857142857</v>
      </c>
      <c r="H174">
        <f t="shared" si="8"/>
        <v>132.11967301587268</v>
      </c>
    </row>
    <row r="175" spans="1:8">
      <c r="A175" s="1" t="s">
        <v>36</v>
      </c>
      <c r="B175" s="1" t="s">
        <v>38</v>
      </c>
      <c r="C175" s="2" t="s">
        <v>19</v>
      </c>
      <c r="D175" s="5">
        <v>0.19418333333333301</v>
      </c>
      <c r="E175">
        <v>9.0800000000000006E-2</v>
      </c>
      <c r="F175" s="5">
        <f t="shared" si="6"/>
        <v>0.10338333333333301</v>
      </c>
      <c r="G175" s="5">
        <f t="shared" si="7"/>
        <v>0.2857142857142857</v>
      </c>
      <c r="H175">
        <f t="shared" si="8"/>
        <v>96.477787301586972</v>
      </c>
    </row>
    <row r="176" spans="1:8">
      <c r="A176" s="1" t="s">
        <v>36</v>
      </c>
      <c r="B176" s="1" t="s">
        <v>38</v>
      </c>
      <c r="C176" s="2" t="s">
        <v>20</v>
      </c>
      <c r="D176" s="5">
        <v>0.19768333333333299</v>
      </c>
      <c r="E176">
        <v>9.0800000000000006E-2</v>
      </c>
      <c r="F176" s="5">
        <f t="shared" si="6"/>
        <v>0.10688333333333298</v>
      </c>
      <c r="G176" s="5">
        <f t="shared" si="7"/>
        <v>0.2857142857142857</v>
      </c>
      <c r="H176">
        <f t="shared" si="8"/>
        <v>99.858453968253613</v>
      </c>
    </row>
    <row r="177" spans="1:8">
      <c r="A177" s="1" t="s">
        <v>36</v>
      </c>
      <c r="B177" s="1" t="s">
        <v>38</v>
      </c>
      <c r="C177" s="2" t="s">
        <v>22</v>
      </c>
      <c r="D177" s="5">
        <v>0.270183333333333</v>
      </c>
      <c r="E177">
        <v>9.0800000000000006E-2</v>
      </c>
      <c r="F177" s="5">
        <f t="shared" si="6"/>
        <v>0.17938333333333301</v>
      </c>
      <c r="G177" s="5">
        <f t="shared" si="7"/>
        <v>0.2857142857142857</v>
      </c>
      <c r="H177">
        <f t="shared" si="8"/>
        <v>169.88654920634889</v>
      </c>
    </row>
    <row r="178" spans="1:8">
      <c r="A178" s="1" t="s">
        <v>36</v>
      </c>
      <c r="B178" s="1" t="s">
        <v>38</v>
      </c>
      <c r="C178" s="2" t="s">
        <v>23</v>
      </c>
      <c r="D178" s="5">
        <v>0.19918333333333299</v>
      </c>
      <c r="E178">
        <v>9.0800000000000006E-2</v>
      </c>
      <c r="F178" s="5">
        <f t="shared" si="6"/>
        <v>0.10838333333333298</v>
      </c>
      <c r="G178" s="5">
        <f t="shared" si="7"/>
        <v>0.2857142857142857</v>
      </c>
      <c r="H178">
        <f t="shared" si="8"/>
        <v>101.30731111111076</v>
      </c>
    </row>
    <row r="179" spans="1:8">
      <c r="A179" s="1" t="s">
        <v>36</v>
      </c>
      <c r="B179" s="1" t="s">
        <v>38</v>
      </c>
      <c r="C179" s="2" t="s">
        <v>24</v>
      </c>
      <c r="D179" s="5">
        <v>0.20098333333333299</v>
      </c>
      <c r="E179">
        <v>9.0800000000000006E-2</v>
      </c>
      <c r="F179" s="5">
        <f t="shared" si="6"/>
        <v>0.11018333333333298</v>
      </c>
      <c r="G179" s="5">
        <f t="shared" si="7"/>
        <v>0.2857142857142857</v>
      </c>
      <c r="H179">
        <f t="shared" si="8"/>
        <v>103.04593968253933</v>
      </c>
    </row>
    <row r="180" spans="1:8">
      <c r="A180" s="1" t="s">
        <v>36</v>
      </c>
      <c r="B180" s="1" t="s">
        <v>38</v>
      </c>
      <c r="C180" s="2" t="s">
        <v>26</v>
      </c>
      <c r="D180" s="5">
        <v>0.19388333333333299</v>
      </c>
      <c r="E180">
        <v>9.0800000000000006E-2</v>
      </c>
      <c r="F180" s="5">
        <f t="shared" si="6"/>
        <v>0.10308333333333299</v>
      </c>
      <c r="G180" s="5">
        <f t="shared" si="7"/>
        <v>0.2857142857142857</v>
      </c>
      <c r="H180">
        <f t="shared" si="8"/>
        <v>96.18801587301553</v>
      </c>
    </row>
    <row r="181" spans="1:8">
      <c r="A181" s="1" t="s">
        <v>36</v>
      </c>
      <c r="B181" s="1" t="s">
        <v>38</v>
      </c>
      <c r="C181" s="2" t="s">
        <v>27</v>
      </c>
      <c r="D181" s="5">
        <v>0.245483333333333</v>
      </c>
      <c r="E181">
        <v>9.0800000000000006E-2</v>
      </c>
      <c r="F181" s="5">
        <f t="shared" si="6"/>
        <v>0.15468333333333301</v>
      </c>
      <c r="G181" s="5">
        <f t="shared" si="7"/>
        <v>0.2857142857142857</v>
      </c>
      <c r="H181">
        <f t="shared" si="8"/>
        <v>146.02870158730127</v>
      </c>
    </row>
    <row r="182" spans="1:8">
      <c r="A182" s="1" t="s">
        <v>36</v>
      </c>
      <c r="B182" s="1" t="s">
        <v>39</v>
      </c>
      <c r="C182" s="2" t="s">
        <v>4</v>
      </c>
      <c r="D182" s="5">
        <v>0.21365000000000001</v>
      </c>
      <c r="E182">
        <v>9.0800000000000006E-2</v>
      </c>
      <c r="F182" s="5">
        <f t="shared" si="6"/>
        <v>0.12285</v>
      </c>
      <c r="G182" s="5">
        <f t="shared" si="7"/>
        <v>0.2857142857142857</v>
      </c>
      <c r="H182">
        <f t="shared" si="8"/>
        <v>115.28073333333333</v>
      </c>
    </row>
    <row r="183" spans="1:8">
      <c r="A183" s="1" t="s">
        <v>36</v>
      </c>
      <c r="B183" s="1" t="s">
        <v>39</v>
      </c>
      <c r="C183" s="2" t="s">
        <v>6</v>
      </c>
      <c r="D183" s="5">
        <v>0.25205</v>
      </c>
      <c r="E183">
        <v>9.0800000000000006E-2</v>
      </c>
      <c r="F183" s="5">
        <f t="shared" si="6"/>
        <v>0.16125</v>
      </c>
      <c r="G183" s="5">
        <f t="shared" si="7"/>
        <v>0.2857142857142857</v>
      </c>
      <c r="H183">
        <f t="shared" si="8"/>
        <v>152.37147619047619</v>
      </c>
    </row>
    <row r="184" spans="1:8">
      <c r="A184" s="1" t="s">
        <v>36</v>
      </c>
      <c r="B184" s="1" t="s">
        <v>39</v>
      </c>
      <c r="C184" s="2" t="s">
        <v>7</v>
      </c>
      <c r="D184" s="5">
        <v>0.20795</v>
      </c>
      <c r="E184">
        <v>9.0800000000000006E-2</v>
      </c>
      <c r="F184" s="5">
        <f t="shared" si="6"/>
        <v>0.11714999999999999</v>
      </c>
      <c r="G184" s="5">
        <f t="shared" si="7"/>
        <v>0.2857142857142857</v>
      </c>
      <c r="H184">
        <f t="shared" si="8"/>
        <v>109.77507619047617</v>
      </c>
    </row>
    <row r="185" spans="1:8">
      <c r="A185" s="1" t="s">
        <v>36</v>
      </c>
      <c r="B185" s="1" t="s">
        <v>39</v>
      </c>
      <c r="C185" s="2" t="s">
        <v>8</v>
      </c>
      <c r="D185" s="5">
        <v>0.21584999999999999</v>
      </c>
      <c r="E185">
        <v>9.0800000000000006E-2</v>
      </c>
      <c r="F185" s="5">
        <f t="shared" si="6"/>
        <v>0.12504999999999999</v>
      </c>
      <c r="G185" s="5">
        <f t="shared" si="7"/>
        <v>0.2857142857142857</v>
      </c>
      <c r="H185">
        <f t="shared" si="8"/>
        <v>117.40572380952379</v>
      </c>
    </row>
    <row r="186" spans="1:8">
      <c r="A186" s="1" t="s">
        <v>36</v>
      </c>
      <c r="B186" s="1" t="s">
        <v>39</v>
      </c>
      <c r="C186" s="2" t="s">
        <v>10</v>
      </c>
      <c r="D186" s="5">
        <v>0.27184999999999998</v>
      </c>
      <c r="E186">
        <v>9.0800000000000006E-2</v>
      </c>
      <c r="F186" s="5">
        <f t="shared" si="6"/>
        <v>0.18104999999999999</v>
      </c>
      <c r="G186" s="5">
        <f t="shared" si="7"/>
        <v>0.2857142857142857</v>
      </c>
      <c r="H186">
        <f t="shared" si="8"/>
        <v>171.49639047619044</v>
      </c>
    </row>
    <row r="187" spans="1:8">
      <c r="A187" s="1" t="s">
        <v>36</v>
      </c>
      <c r="B187" s="1" t="s">
        <v>39</v>
      </c>
      <c r="C187" s="2" t="s">
        <v>11</v>
      </c>
      <c r="D187" s="5">
        <v>0.20065</v>
      </c>
      <c r="E187">
        <v>9.0800000000000006E-2</v>
      </c>
      <c r="F187" s="5">
        <f t="shared" si="6"/>
        <v>0.10984999999999999</v>
      </c>
      <c r="G187" s="5">
        <f t="shared" si="7"/>
        <v>0.2857142857142857</v>
      </c>
      <c r="H187">
        <f t="shared" si="8"/>
        <v>102.72397142857142</v>
      </c>
    </row>
    <row r="188" spans="1:8">
      <c r="A188" s="1" t="s">
        <v>36</v>
      </c>
      <c r="B188" s="1" t="s">
        <v>39</v>
      </c>
      <c r="C188" s="2" t="s">
        <v>12</v>
      </c>
      <c r="D188" s="5">
        <v>0.23085</v>
      </c>
      <c r="E188">
        <v>9.0800000000000006E-2</v>
      </c>
      <c r="F188" s="5">
        <f t="shared" si="6"/>
        <v>0.14005000000000001</v>
      </c>
      <c r="G188" s="5">
        <f t="shared" si="7"/>
        <v>0.2857142857142857</v>
      </c>
      <c r="H188">
        <f t="shared" si="8"/>
        <v>131.89429523809522</v>
      </c>
    </row>
    <row r="189" spans="1:8">
      <c r="A189" s="1" t="s">
        <v>36</v>
      </c>
      <c r="B189" s="1" t="s">
        <v>39</v>
      </c>
      <c r="C189" s="2" t="s">
        <v>14</v>
      </c>
      <c r="D189" s="5">
        <v>0.22905</v>
      </c>
      <c r="E189">
        <v>9.0800000000000006E-2</v>
      </c>
      <c r="F189" s="5">
        <f t="shared" si="6"/>
        <v>0.13824999999999998</v>
      </c>
      <c r="G189" s="5">
        <f t="shared" si="7"/>
        <v>0.2857142857142857</v>
      </c>
      <c r="H189">
        <f t="shared" si="8"/>
        <v>130.15566666666666</v>
      </c>
    </row>
    <row r="190" spans="1:8">
      <c r="A190" s="1" t="s">
        <v>36</v>
      </c>
      <c r="B190" s="1" t="s">
        <v>39</v>
      </c>
      <c r="C190" s="2" t="s">
        <v>15</v>
      </c>
      <c r="D190" s="5">
        <v>0.21375</v>
      </c>
      <c r="E190">
        <v>9.0800000000000006E-2</v>
      </c>
      <c r="F190" s="5">
        <f t="shared" si="6"/>
        <v>0.12294999999999999</v>
      </c>
      <c r="G190" s="5">
        <f t="shared" si="7"/>
        <v>0.2857142857142857</v>
      </c>
      <c r="H190">
        <f t="shared" si="8"/>
        <v>115.37732380952379</v>
      </c>
    </row>
    <row r="191" spans="1:8">
      <c r="A191" s="1" t="s">
        <v>36</v>
      </c>
      <c r="B191" s="1" t="s">
        <v>39</v>
      </c>
      <c r="C191" s="2" t="s">
        <v>16</v>
      </c>
      <c r="D191" s="5">
        <v>0.26395000000000002</v>
      </c>
      <c r="E191">
        <v>9.0800000000000006E-2</v>
      </c>
      <c r="F191" s="5">
        <f t="shared" si="6"/>
        <v>0.17315000000000003</v>
      </c>
      <c r="G191" s="5">
        <f t="shared" si="7"/>
        <v>0.2857142857142857</v>
      </c>
      <c r="H191">
        <f t="shared" si="8"/>
        <v>163.86574285714289</v>
      </c>
    </row>
    <row r="192" spans="1:8">
      <c r="A192" s="1" t="s">
        <v>36</v>
      </c>
      <c r="B192" s="1" t="s">
        <v>39</v>
      </c>
      <c r="C192" s="2" t="s">
        <v>18</v>
      </c>
      <c r="D192" s="5">
        <v>0.23025000000000001</v>
      </c>
      <c r="E192">
        <v>9.0800000000000006E-2</v>
      </c>
      <c r="F192" s="5">
        <f t="shared" si="6"/>
        <v>0.13945000000000002</v>
      </c>
      <c r="G192" s="5">
        <f t="shared" si="7"/>
        <v>0.2857142857142857</v>
      </c>
      <c r="H192">
        <f t="shared" si="8"/>
        <v>131.3147523809524</v>
      </c>
    </row>
    <row r="193" spans="1:8">
      <c r="A193" s="1" t="s">
        <v>36</v>
      </c>
      <c r="B193" s="1" t="s">
        <v>39</v>
      </c>
      <c r="C193" s="2" t="s">
        <v>19</v>
      </c>
      <c r="D193" s="5">
        <v>0.26924999999999999</v>
      </c>
      <c r="E193">
        <v>9.0800000000000006E-2</v>
      </c>
      <c r="F193" s="5">
        <f t="shared" si="6"/>
        <v>0.17845</v>
      </c>
      <c r="G193" s="5">
        <f t="shared" si="7"/>
        <v>0.2857142857142857</v>
      </c>
      <c r="H193">
        <f t="shared" si="8"/>
        <v>168.98503809523811</v>
      </c>
    </row>
    <row r="194" spans="1:8">
      <c r="A194" s="1" t="s">
        <v>36</v>
      </c>
      <c r="B194" s="1" t="s">
        <v>39</v>
      </c>
      <c r="C194" s="2" t="s">
        <v>20</v>
      </c>
      <c r="D194" s="5">
        <v>0.19355</v>
      </c>
      <c r="E194">
        <v>9.0800000000000006E-2</v>
      </c>
      <c r="F194" s="5">
        <f t="shared" si="6"/>
        <v>0.10274999999999999</v>
      </c>
      <c r="G194" s="5">
        <f t="shared" si="7"/>
        <v>0.2857142857142857</v>
      </c>
      <c r="H194">
        <f t="shared" si="8"/>
        <v>95.86604761904762</v>
      </c>
    </row>
    <row r="195" spans="1:8">
      <c r="A195" s="1" t="s">
        <v>36</v>
      </c>
      <c r="B195" s="1" t="s">
        <v>39</v>
      </c>
      <c r="C195" s="2" t="s">
        <v>22</v>
      </c>
      <c r="D195" s="5">
        <v>0.16805</v>
      </c>
      <c r="E195">
        <v>9.0800000000000006E-2</v>
      </c>
      <c r="F195" s="5">
        <f t="shared" ref="F195:F258" si="9">D195-E195</f>
        <v>7.7249999999999999E-2</v>
      </c>
      <c r="G195" s="5">
        <f t="shared" ref="G195:G258" si="10">1/3.5</f>
        <v>0.2857142857142857</v>
      </c>
      <c r="H195">
        <f t="shared" ref="H195:H258" si="11">0.5071*(F195-0.0035)/0.15*G195*1000</f>
        <v>71.235476190476177</v>
      </c>
    </row>
    <row r="196" spans="1:8">
      <c r="A196" s="1" t="s">
        <v>36</v>
      </c>
      <c r="B196" s="1" t="s">
        <v>39</v>
      </c>
      <c r="C196" s="2" t="s">
        <v>23</v>
      </c>
      <c r="D196" s="5">
        <v>0.21115</v>
      </c>
      <c r="E196">
        <v>9.0800000000000006E-2</v>
      </c>
      <c r="F196" s="5">
        <f t="shared" si="9"/>
        <v>0.12035</v>
      </c>
      <c r="G196" s="5">
        <f t="shared" si="10"/>
        <v>0.2857142857142857</v>
      </c>
      <c r="H196">
        <f t="shared" si="11"/>
        <v>112.86597142857143</v>
      </c>
    </row>
    <row r="197" spans="1:8">
      <c r="A197" s="1" t="s">
        <v>36</v>
      </c>
      <c r="B197" s="1" t="s">
        <v>39</v>
      </c>
      <c r="C197" s="2" t="s">
        <v>24</v>
      </c>
      <c r="D197" s="5">
        <v>0.24404999999999999</v>
      </c>
      <c r="E197">
        <v>9.0800000000000006E-2</v>
      </c>
      <c r="F197" s="5">
        <f t="shared" si="9"/>
        <v>0.15325</v>
      </c>
      <c r="G197" s="5">
        <f t="shared" si="10"/>
        <v>0.2857142857142857</v>
      </c>
      <c r="H197">
        <f t="shared" si="11"/>
        <v>144.64423809523808</v>
      </c>
    </row>
    <row r="198" spans="1:8">
      <c r="A198" s="1" t="s">
        <v>36</v>
      </c>
      <c r="B198" s="1" t="s">
        <v>39</v>
      </c>
      <c r="C198" s="2" t="s">
        <v>26</v>
      </c>
      <c r="D198" s="5">
        <v>0.29744999999999999</v>
      </c>
      <c r="E198">
        <v>9.0800000000000006E-2</v>
      </c>
      <c r="F198" s="5">
        <f t="shared" si="9"/>
        <v>0.20665</v>
      </c>
      <c r="G198" s="5">
        <f t="shared" si="10"/>
        <v>0.2857142857142857</v>
      </c>
      <c r="H198">
        <f t="shared" si="11"/>
        <v>196.22355238095238</v>
      </c>
    </row>
    <row r="199" spans="1:8">
      <c r="A199" s="1" t="s">
        <v>36</v>
      </c>
      <c r="B199" s="1" t="s">
        <v>39</v>
      </c>
      <c r="C199" s="2" t="s">
        <v>27</v>
      </c>
      <c r="D199" s="5">
        <v>0.19894999999999999</v>
      </c>
      <c r="E199">
        <v>9.0800000000000006E-2</v>
      </c>
      <c r="F199" s="5">
        <f t="shared" si="9"/>
        <v>0.10814999999999998</v>
      </c>
      <c r="G199" s="5">
        <f t="shared" si="10"/>
        <v>0.2857142857142857</v>
      </c>
      <c r="H199">
        <f t="shared" si="11"/>
        <v>101.08193333333331</v>
      </c>
    </row>
    <row r="200" spans="1:8">
      <c r="A200" s="1" t="s">
        <v>36</v>
      </c>
      <c r="B200" s="1" t="s">
        <v>40</v>
      </c>
      <c r="C200" s="2" t="s">
        <v>4</v>
      </c>
      <c r="D200" s="5">
        <v>0.22205</v>
      </c>
      <c r="E200">
        <v>9.0800000000000006E-2</v>
      </c>
      <c r="F200" s="5">
        <f t="shared" si="9"/>
        <v>0.13124999999999998</v>
      </c>
      <c r="G200" s="5">
        <f t="shared" si="10"/>
        <v>0.2857142857142857</v>
      </c>
      <c r="H200">
        <f t="shared" si="11"/>
        <v>123.39433333333331</v>
      </c>
    </row>
    <row r="201" spans="1:8">
      <c r="A201" s="1" t="s">
        <v>36</v>
      </c>
      <c r="B201" s="1" t="s">
        <v>40</v>
      </c>
      <c r="C201" s="2" t="s">
        <v>6</v>
      </c>
      <c r="D201" s="5">
        <v>0.27255000000000001</v>
      </c>
      <c r="E201">
        <v>9.0800000000000006E-2</v>
      </c>
      <c r="F201" s="5">
        <f t="shared" si="9"/>
        <v>0.18175000000000002</v>
      </c>
      <c r="G201" s="5">
        <f t="shared" si="10"/>
        <v>0.2857142857142857</v>
      </c>
      <c r="H201">
        <f t="shared" si="11"/>
        <v>172.17252380952382</v>
      </c>
    </row>
    <row r="202" spans="1:8">
      <c r="A202" s="1" t="s">
        <v>36</v>
      </c>
      <c r="B202" s="1" t="s">
        <v>40</v>
      </c>
      <c r="C202" s="2" t="s">
        <v>7</v>
      </c>
      <c r="D202" s="5">
        <v>0.21435000000000001</v>
      </c>
      <c r="E202">
        <v>9.0800000000000006E-2</v>
      </c>
      <c r="F202" s="5">
        <f t="shared" si="9"/>
        <v>0.12355000000000001</v>
      </c>
      <c r="G202" s="5">
        <f t="shared" si="10"/>
        <v>0.2857142857142857</v>
      </c>
      <c r="H202">
        <f t="shared" si="11"/>
        <v>115.95686666666666</v>
      </c>
    </row>
    <row r="203" spans="1:8">
      <c r="A203" s="1" t="s">
        <v>36</v>
      </c>
      <c r="B203" s="1" t="s">
        <v>40</v>
      </c>
      <c r="C203" s="2" t="s">
        <v>8</v>
      </c>
      <c r="D203" s="5">
        <v>0.17845</v>
      </c>
      <c r="E203">
        <v>9.0800000000000006E-2</v>
      </c>
      <c r="F203" s="5">
        <f t="shared" si="9"/>
        <v>8.7649999999999992E-2</v>
      </c>
      <c r="G203" s="5">
        <f t="shared" si="10"/>
        <v>0.2857142857142857</v>
      </c>
      <c r="H203">
        <f t="shared" si="11"/>
        <v>81.280885714285716</v>
      </c>
    </row>
    <row r="204" spans="1:8">
      <c r="A204" s="1" t="s">
        <v>36</v>
      </c>
      <c r="B204" s="1" t="s">
        <v>40</v>
      </c>
      <c r="C204" s="2" t="s">
        <v>10</v>
      </c>
      <c r="D204" s="5">
        <v>0.28455000000000003</v>
      </c>
      <c r="E204">
        <v>9.0800000000000006E-2</v>
      </c>
      <c r="F204" s="5">
        <f t="shared" si="9"/>
        <v>0.19375000000000003</v>
      </c>
      <c r="G204" s="5">
        <f t="shared" si="10"/>
        <v>0.2857142857142857</v>
      </c>
      <c r="H204">
        <f t="shared" si="11"/>
        <v>183.76338095238097</v>
      </c>
    </row>
    <row r="205" spans="1:8">
      <c r="A205" s="1" t="s">
        <v>36</v>
      </c>
      <c r="B205" s="1" t="s">
        <v>40</v>
      </c>
      <c r="C205" s="2" t="s">
        <v>11</v>
      </c>
      <c r="D205" s="5">
        <v>0.27705000000000002</v>
      </c>
      <c r="E205">
        <v>9.0800000000000006E-2</v>
      </c>
      <c r="F205" s="5">
        <f t="shared" si="9"/>
        <v>0.18625000000000003</v>
      </c>
      <c r="G205" s="5">
        <f t="shared" si="10"/>
        <v>0.2857142857142857</v>
      </c>
      <c r="H205">
        <f t="shared" si="11"/>
        <v>176.51909523809525</v>
      </c>
    </row>
    <row r="206" spans="1:8">
      <c r="A206" s="1" t="s">
        <v>36</v>
      </c>
      <c r="B206" s="1" t="s">
        <v>40</v>
      </c>
      <c r="C206" s="2" t="s">
        <v>12</v>
      </c>
      <c r="D206" s="5">
        <v>0.28775000000000001</v>
      </c>
      <c r="E206">
        <v>9.0800000000000006E-2</v>
      </c>
      <c r="F206" s="5">
        <f t="shared" si="9"/>
        <v>0.19695000000000001</v>
      </c>
      <c r="G206" s="5">
        <f t="shared" si="10"/>
        <v>0.2857142857142857</v>
      </c>
      <c r="H206">
        <f t="shared" si="11"/>
        <v>186.85427619047621</v>
      </c>
    </row>
    <row r="207" spans="1:8">
      <c r="A207" s="1" t="s">
        <v>36</v>
      </c>
      <c r="B207" s="1" t="s">
        <v>40</v>
      </c>
      <c r="C207" s="2" t="s">
        <v>14</v>
      </c>
      <c r="D207" s="5">
        <v>0.25255</v>
      </c>
      <c r="E207">
        <v>9.0800000000000006E-2</v>
      </c>
      <c r="F207" s="5">
        <f t="shared" si="9"/>
        <v>0.16175</v>
      </c>
      <c r="G207" s="5">
        <f t="shared" si="10"/>
        <v>0.2857142857142857</v>
      </c>
      <c r="H207">
        <f t="shared" si="11"/>
        <v>152.8544285714286</v>
      </c>
    </row>
    <row r="208" spans="1:8">
      <c r="A208" s="1" t="s">
        <v>36</v>
      </c>
      <c r="B208" s="1" t="s">
        <v>40</v>
      </c>
      <c r="C208" s="2" t="s">
        <v>15</v>
      </c>
      <c r="D208" s="5">
        <v>0.32114999999999999</v>
      </c>
      <c r="E208">
        <v>9.0800000000000006E-2</v>
      </c>
      <c r="F208" s="5">
        <f t="shared" si="9"/>
        <v>0.23035</v>
      </c>
      <c r="G208" s="5">
        <f t="shared" si="10"/>
        <v>0.2857142857142857</v>
      </c>
      <c r="H208">
        <f t="shared" si="11"/>
        <v>219.11549523809524</v>
      </c>
    </row>
    <row r="209" spans="1:8">
      <c r="A209" s="1" t="s">
        <v>36</v>
      </c>
      <c r="B209" s="1" t="s">
        <v>40</v>
      </c>
      <c r="C209" s="2" t="s">
        <v>16</v>
      </c>
      <c r="D209" s="5">
        <v>0.22514999999999999</v>
      </c>
      <c r="E209">
        <v>9.0800000000000006E-2</v>
      </c>
      <c r="F209" s="5">
        <f t="shared" si="9"/>
        <v>0.13434999999999997</v>
      </c>
      <c r="G209" s="5">
        <f t="shared" si="10"/>
        <v>0.2857142857142857</v>
      </c>
      <c r="H209">
        <f t="shared" si="11"/>
        <v>126.38863809523804</v>
      </c>
    </row>
    <row r="210" spans="1:8">
      <c r="A210" s="1" t="s">
        <v>36</v>
      </c>
      <c r="B210" s="1" t="s">
        <v>40</v>
      </c>
      <c r="C210" s="2" t="s">
        <v>18</v>
      </c>
      <c r="D210" s="5">
        <v>0.30104999999999998</v>
      </c>
      <c r="E210">
        <v>9.0800000000000006E-2</v>
      </c>
      <c r="F210" s="5">
        <f t="shared" si="9"/>
        <v>0.21024999999999999</v>
      </c>
      <c r="G210" s="5">
        <f t="shared" si="10"/>
        <v>0.2857142857142857</v>
      </c>
      <c r="H210">
        <f t="shared" si="11"/>
        <v>199.70080952380948</v>
      </c>
    </row>
    <row r="211" spans="1:8">
      <c r="A211" s="1" t="s">
        <v>36</v>
      </c>
      <c r="B211" s="1" t="s">
        <v>40</v>
      </c>
      <c r="C211" s="2" t="s">
        <v>19</v>
      </c>
      <c r="D211" s="5">
        <v>0.28985</v>
      </c>
      <c r="E211">
        <v>9.0800000000000006E-2</v>
      </c>
      <c r="F211" s="5">
        <f t="shared" si="9"/>
        <v>0.19905</v>
      </c>
      <c r="G211" s="5">
        <f t="shared" si="10"/>
        <v>0.2857142857142857</v>
      </c>
      <c r="H211">
        <f t="shared" si="11"/>
        <v>188.88267619047616</v>
      </c>
    </row>
    <row r="212" spans="1:8">
      <c r="A212" s="1" t="s">
        <v>36</v>
      </c>
      <c r="B212" s="1" t="s">
        <v>40</v>
      </c>
      <c r="C212" s="2" t="s">
        <v>20</v>
      </c>
      <c r="D212" s="5">
        <v>0.29535</v>
      </c>
      <c r="E212">
        <v>9.0800000000000006E-2</v>
      </c>
      <c r="F212" s="5">
        <f t="shared" si="9"/>
        <v>0.20455000000000001</v>
      </c>
      <c r="G212" s="5">
        <f t="shared" si="10"/>
        <v>0.2857142857142857</v>
      </c>
      <c r="H212">
        <f t="shared" si="11"/>
        <v>194.19515238095235</v>
      </c>
    </row>
    <row r="213" spans="1:8">
      <c r="A213" s="1" t="s">
        <v>36</v>
      </c>
      <c r="B213" s="1" t="s">
        <v>40</v>
      </c>
      <c r="C213" s="2" t="s">
        <v>22</v>
      </c>
      <c r="D213" s="5">
        <v>0.19935</v>
      </c>
      <c r="E213">
        <v>9.0800000000000006E-2</v>
      </c>
      <c r="F213" s="5">
        <f t="shared" si="9"/>
        <v>0.10854999999999999</v>
      </c>
      <c r="G213" s="5">
        <f t="shared" si="10"/>
        <v>0.2857142857142857</v>
      </c>
      <c r="H213">
        <f t="shared" si="11"/>
        <v>101.46829523809522</v>
      </c>
    </row>
    <row r="214" spans="1:8">
      <c r="A214" s="1" t="s">
        <v>36</v>
      </c>
      <c r="B214" s="1" t="s">
        <v>40</v>
      </c>
      <c r="C214" s="2" t="s">
        <v>23</v>
      </c>
      <c r="D214" s="5">
        <v>0.20615</v>
      </c>
      <c r="E214">
        <v>9.0800000000000006E-2</v>
      </c>
      <c r="F214" s="5">
        <f t="shared" si="9"/>
        <v>0.11534999999999999</v>
      </c>
      <c r="G214" s="5">
        <f t="shared" si="10"/>
        <v>0.2857142857142857</v>
      </c>
      <c r="H214">
        <f t="shared" si="11"/>
        <v>108.03644761904759</v>
      </c>
    </row>
    <row r="215" spans="1:8">
      <c r="A215" s="1" t="s">
        <v>36</v>
      </c>
      <c r="B215" s="1" t="s">
        <v>40</v>
      </c>
      <c r="C215" s="2" t="s">
        <v>24</v>
      </c>
      <c r="D215" s="5">
        <v>0.22514999999999999</v>
      </c>
      <c r="E215">
        <v>9.0800000000000006E-2</v>
      </c>
      <c r="F215" s="5">
        <f t="shared" si="9"/>
        <v>0.13434999999999997</v>
      </c>
      <c r="G215" s="5">
        <f t="shared" si="10"/>
        <v>0.2857142857142857</v>
      </c>
      <c r="H215">
        <f t="shared" si="11"/>
        <v>126.38863809523804</v>
      </c>
    </row>
    <row r="216" spans="1:8">
      <c r="A216" s="1" t="s">
        <v>36</v>
      </c>
      <c r="B216" s="1" t="s">
        <v>40</v>
      </c>
      <c r="C216" s="2" t="s">
        <v>26</v>
      </c>
      <c r="D216" s="5">
        <v>0.29544999999999999</v>
      </c>
      <c r="E216">
        <v>9.0800000000000006E-2</v>
      </c>
      <c r="F216" s="5">
        <f t="shared" si="9"/>
        <v>0.20465</v>
      </c>
      <c r="G216" s="5">
        <f t="shared" si="10"/>
        <v>0.2857142857142857</v>
      </c>
      <c r="H216">
        <f t="shared" si="11"/>
        <v>194.29174285714282</v>
      </c>
    </row>
    <row r="217" spans="1:8">
      <c r="A217" s="1" t="s">
        <v>36</v>
      </c>
      <c r="B217" s="1" t="s">
        <v>40</v>
      </c>
      <c r="C217" s="2" t="s">
        <v>27</v>
      </c>
      <c r="D217" s="5">
        <v>0.40934999999999999</v>
      </c>
      <c r="E217">
        <v>9.0800000000000006E-2</v>
      </c>
      <c r="F217" s="5">
        <f t="shared" si="9"/>
        <v>0.31855</v>
      </c>
      <c r="G217" s="5">
        <f t="shared" si="10"/>
        <v>0.2857142857142857</v>
      </c>
      <c r="H217">
        <f t="shared" si="11"/>
        <v>304.3082952380953</v>
      </c>
    </row>
    <row r="218" spans="1:8">
      <c r="A218" s="1" t="s">
        <v>36</v>
      </c>
      <c r="B218" s="1" t="s">
        <v>41</v>
      </c>
      <c r="C218" s="2" t="s">
        <v>4</v>
      </c>
      <c r="D218" s="5">
        <v>0.30123333333333302</v>
      </c>
      <c r="E218">
        <v>9.0800000000000006E-2</v>
      </c>
      <c r="F218" s="5">
        <f t="shared" si="9"/>
        <v>0.21043333333333303</v>
      </c>
      <c r="G218" s="5">
        <f t="shared" si="10"/>
        <v>0.2857142857142857</v>
      </c>
      <c r="H218">
        <f t="shared" si="11"/>
        <v>199.87789206349177</v>
      </c>
    </row>
    <row r="219" spans="1:8">
      <c r="A219" s="1" t="s">
        <v>36</v>
      </c>
      <c r="B219" s="1" t="s">
        <v>41</v>
      </c>
      <c r="C219" s="2" t="s">
        <v>6</v>
      </c>
      <c r="D219" s="5">
        <v>0.298933333333333</v>
      </c>
      <c r="E219">
        <v>9.0800000000000006E-2</v>
      </c>
      <c r="F219" s="5">
        <f t="shared" si="9"/>
        <v>0.208133333333333</v>
      </c>
      <c r="G219" s="5">
        <f t="shared" si="10"/>
        <v>0.2857142857142857</v>
      </c>
      <c r="H219">
        <f t="shared" si="11"/>
        <v>197.6563111111108</v>
      </c>
    </row>
    <row r="220" spans="1:8">
      <c r="A220" s="1" t="s">
        <v>36</v>
      </c>
      <c r="B220" s="1" t="s">
        <v>41</v>
      </c>
      <c r="C220" s="2" t="s">
        <v>7</v>
      </c>
      <c r="D220" s="5">
        <v>0.211933333333333</v>
      </c>
      <c r="E220">
        <v>9.0800000000000006E-2</v>
      </c>
      <c r="F220" s="5">
        <f t="shared" si="9"/>
        <v>0.121133333333333</v>
      </c>
      <c r="G220" s="5">
        <f t="shared" si="10"/>
        <v>0.2857142857142857</v>
      </c>
      <c r="H220">
        <f t="shared" si="11"/>
        <v>113.6225968253965</v>
      </c>
    </row>
    <row r="221" spans="1:8">
      <c r="A221" s="1" t="s">
        <v>36</v>
      </c>
      <c r="B221" s="1" t="s">
        <v>41</v>
      </c>
      <c r="C221" s="2" t="s">
        <v>8</v>
      </c>
      <c r="D221" s="5">
        <v>0.23773333333333299</v>
      </c>
      <c r="E221">
        <v>9.0800000000000006E-2</v>
      </c>
      <c r="F221" s="5">
        <f t="shared" si="9"/>
        <v>0.14693333333333297</v>
      </c>
      <c r="G221" s="5">
        <f t="shared" si="10"/>
        <v>0.2857142857142857</v>
      </c>
      <c r="H221">
        <f t="shared" si="11"/>
        <v>138.54293968253933</v>
      </c>
    </row>
    <row r="222" spans="1:8">
      <c r="A222" s="1" t="s">
        <v>36</v>
      </c>
      <c r="B222" s="1" t="s">
        <v>41</v>
      </c>
      <c r="C222" s="2" t="s">
        <v>10</v>
      </c>
      <c r="D222" s="5">
        <v>0.198833333333333</v>
      </c>
      <c r="E222">
        <v>9.0800000000000006E-2</v>
      </c>
      <c r="F222" s="5">
        <f t="shared" si="9"/>
        <v>0.108033333333333</v>
      </c>
      <c r="G222" s="5">
        <f t="shared" si="10"/>
        <v>0.2857142857142857</v>
      </c>
      <c r="H222">
        <f t="shared" si="11"/>
        <v>100.96924444444412</v>
      </c>
    </row>
    <row r="223" spans="1:8">
      <c r="A223" s="1" t="s">
        <v>36</v>
      </c>
      <c r="B223" s="1" t="s">
        <v>41</v>
      </c>
      <c r="C223" s="2" t="s">
        <v>11</v>
      </c>
      <c r="D223" s="5">
        <v>0.28343333333333298</v>
      </c>
      <c r="E223">
        <v>9.0800000000000006E-2</v>
      </c>
      <c r="F223" s="5">
        <f t="shared" si="9"/>
        <v>0.19263333333333299</v>
      </c>
      <c r="G223" s="5">
        <f t="shared" si="10"/>
        <v>0.2857142857142857</v>
      </c>
      <c r="H223">
        <f t="shared" si="11"/>
        <v>182.68478730158697</v>
      </c>
    </row>
    <row r="224" spans="1:8">
      <c r="A224" s="1" t="s">
        <v>36</v>
      </c>
      <c r="B224" s="1" t="s">
        <v>41</v>
      </c>
      <c r="C224" s="2" t="s">
        <v>12</v>
      </c>
      <c r="D224" s="5">
        <v>0.31543333333333301</v>
      </c>
      <c r="E224">
        <v>9.0800000000000006E-2</v>
      </c>
      <c r="F224" s="5">
        <f t="shared" si="9"/>
        <v>0.22463333333333302</v>
      </c>
      <c r="G224" s="5">
        <f t="shared" si="10"/>
        <v>0.2857142857142857</v>
      </c>
      <c r="H224">
        <f t="shared" si="11"/>
        <v>213.59373968253936</v>
      </c>
    </row>
    <row r="225" spans="1:8">
      <c r="A225" s="1" t="s">
        <v>36</v>
      </c>
      <c r="B225" s="1" t="s">
        <v>41</v>
      </c>
      <c r="C225" s="2" t="s">
        <v>14</v>
      </c>
      <c r="D225" s="5">
        <v>0.26073333333333298</v>
      </c>
      <c r="E225">
        <v>9.0800000000000006E-2</v>
      </c>
      <c r="F225" s="5">
        <f t="shared" si="9"/>
        <v>0.16993333333333299</v>
      </c>
      <c r="G225" s="5">
        <f t="shared" si="10"/>
        <v>0.2857142857142857</v>
      </c>
      <c r="H225">
        <f t="shared" si="11"/>
        <v>160.75874920634888</v>
      </c>
    </row>
    <row r="226" spans="1:8">
      <c r="A226" s="1" t="s">
        <v>36</v>
      </c>
      <c r="B226" s="1" t="s">
        <v>41</v>
      </c>
      <c r="C226" s="2" t="s">
        <v>15</v>
      </c>
      <c r="D226" s="5">
        <v>0.23783333333333301</v>
      </c>
      <c r="E226">
        <v>9.0800000000000006E-2</v>
      </c>
      <c r="F226" s="5">
        <f t="shared" si="9"/>
        <v>0.14703333333333302</v>
      </c>
      <c r="G226" s="5">
        <f t="shared" si="10"/>
        <v>0.2857142857142857</v>
      </c>
      <c r="H226">
        <f t="shared" si="11"/>
        <v>138.63953015872985</v>
      </c>
    </row>
    <row r="227" spans="1:8">
      <c r="A227" s="1" t="s">
        <v>36</v>
      </c>
      <c r="B227" s="1" t="s">
        <v>41</v>
      </c>
      <c r="C227" s="2" t="s">
        <v>16</v>
      </c>
      <c r="D227" s="5">
        <v>0.30933333333333302</v>
      </c>
      <c r="E227">
        <v>9.0800000000000006E-2</v>
      </c>
      <c r="F227" s="5">
        <f t="shared" si="9"/>
        <v>0.21853333333333302</v>
      </c>
      <c r="G227" s="5">
        <f t="shared" si="10"/>
        <v>0.2857142857142857</v>
      </c>
      <c r="H227">
        <f t="shared" si="11"/>
        <v>207.70172063492035</v>
      </c>
    </row>
    <row r="228" spans="1:8">
      <c r="A228" s="1" t="s">
        <v>36</v>
      </c>
      <c r="B228" s="1" t="s">
        <v>41</v>
      </c>
      <c r="C228" s="2" t="s">
        <v>18</v>
      </c>
      <c r="D228" s="5">
        <v>0.247233333333333</v>
      </c>
      <c r="E228">
        <v>9.0800000000000006E-2</v>
      </c>
      <c r="F228" s="5">
        <f t="shared" si="9"/>
        <v>0.15643333333333298</v>
      </c>
      <c r="G228" s="5">
        <f t="shared" si="10"/>
        <v>0.2857142857142857</v>
      </c>
      <c r="H228">
        <f t="shared" si="11"/>
        <v>147.71903492063456</v>
      </c>
    </row>
    <row r="229" spans="1:8">
      <c r="A229" s="1" t="s">
        <v>36</v>
      </c>
      <c r="B229" s="1" t="s">
        <v>41</v>
      </c>
      <c r="C229" s="2" t="s">
        <v>19</v>
      </c>
      <c r="D229" s="5">
        <v>0.213733333333333</v>
      </c>
      <c r="E229">
        <v>9.0800000000000006E-2</v>
      </c>
      <c r="F229" s="5">
        <f t="shared" si="9"/>
        <v>0.12293333333333299</v>
      </c>
      <c r="G229" s="5">
        <f t="shared" si="10"/>
        <v>0.2857142857142857</v>
      </c>
      <c r="H229">
        <f t="shared" si="11"/>
        <v>115.36122539682508</v>
      </c>
    </row>
    <row r="230" spans="1:8">
      <c r="A230" s="1" t="s">
        <v>36</v>
      </c>
      <c r="B230" s="1" t="s">
        <v>41</v>
      </c>
      <c r="C230" s="2" t="s">
        <v>20</v>
      </c>
      <c r="D230" s="5">
        <v>0.19293333333333301</v>
      </c>
      <c r="E230">
        <v>9.0800000000000006E-2</v>
      </c>
      <c r="F230" s="5">
        <f t="shared" si="9"/>
        <v>0.10213333333333301</v>
      </c>
      <c r="G230" s="5">
        <f t="shared" si="10"/>
        <v>0.2857142857142857</v>
      </c>
      <c r="H230">
        <f t="shared" si="11"/>
        <v>95.270406349206027</v>
      </c>
    </row>
    <row r="231" spans="1:8">
      <c r="A231" s="1" t="s">
        <v>36</v>
      </c>
      <c r="B231" s="1" t="s">
        <v>41</v>
      </c>
      <c r="C231" s="2" t="s">
        <v>22</v>
      </c>
      <c r="D231" s="5">
        <v>0.21603333333333299</v>
      </c>
      <c r="E231">
        <v>9.0800000000000006E-2</v>
      </c>
      <c r="F231" s="5">
        <f t="shared" si="9"/>
        <v>0.12523333333333297</v>
      </c>
      <c r="G231" s="5">
        <f t="shared" si="10"/>
        <v>0.2857142857142857</v>
      </c>
      <c r="H231">
        <f t="shared" si="11"/>
        <v>117.582806349206</v>
      </c>
    </row>
    <row r="232" spans="1:8">
      <c r="A232" s="1" t="s">
        <v>36</v>
      </c>
      <c r="B232" s="1" t="s">
        <v>41</v>
      </c>
      <c r="C232" s="2" t="s">
        <v>23</v>
      </c>
      <c r="D232" s="5">
        <v>0.212933333333333</v>
      </c>
      <c r="E232">
        <v>9.0800000000000006E-2</v>
      </c>
      <c r="F232" s="5">
        <f t="shared" si="9"/>
        <v>0.122133333333333</v>
      </c>
      <c r="G232" s="5">
        <f t="shared" si="10"/>
        <v>0.2857142857142857</v>
      </c>
      <c r="H232">
        <f t="shared" si="11"/>
        <v>114.58850158730127</v>
      </c>
    </row>
    <row r="233" spans="1:8">
      <c r="A233" s="1" t="s">
        <v>36</v>
      </c>
      <c r="B233" s="1" t="s">
        <v>41</v>
      </c>
      <c r="C233" s="2" t="s">
        <v>24</v>
      </c>
      <c r="D233" s="5">
        <v>0.234333333333333</v>
      </c>
      <c r="E233">
        <v>9.0800000000000006E-2</v>
      </c>
      <c r="F233" s="5">
        <f t="shared" si="9"/>
        <v>0.14353333333333301</v>
      </c>
      <c r="G233" s="5">
        <f t="shared" si="10"/>
        <v>0.2857142857142857</v>
      </c>
      <c r="H233">
        <f t="shared" si="11"/>
        <v>135.25886349206317</v>
      </c>
    </row>
    <row r="234" spans="1:8">
      <c r="A234" s="1" t="s">
        <v>36</v>
      </c>
      <c r="B234" s="1" t="s">
        <v>41</v>
      </c>
      <c r="C234" s="2" t="s">
        <v>26</v>
      </c>
      <c r="D234" s="5">
        <v>0.25143333333333301</v>
      </c>
      <c r="E234">
        <v>9.0800000000000006E-2</v>
      </c>
      <c r="F234" s="5">
        <f t="shared" si="9"/>
        <v>0.16063333333333302</v>
      </c>
      <c r="G234" s="5">
        <f t="shared" si="10"/>
        <v>0.2857142857142857</v>
      </c>
      <c r="H234">
        <f t="shared" si="11"/>
        <v>151.77583492063462</v>
      </c>
    </row>
    <row r="235" spans="1:8">
      <c r="A235" s="1" t="s">
        <v>36</v>
      </c>
      <c r="B235" s="1" t="s">
        <v>41</v>
      </c>
      <c r="C235" s="2" t="s">
        <v>27</v>
      </c>
      <c r="D235" s="5">
        <v>0.306933333333333</v>
      </c>
      <c r="E235">
        <v>9.0800000000000006E-2</v>
      </c>
      <c r="F235" s="5">
        <f t="shared" si="9"/>
        <v>0.21613333333333301</v>
      </c>
      <c r="G235" s="5">
        <f t="shared" si="10"/>
        <v>0.2857142857142857</v>
      </c>
      <c r="H235">
        <f t="shared" si="11"/>
        <v>205.38354920634885</v>
      </c>
    </row>
    <row r="236" spans="1:8">
      <c r="A236" s="1" t="s">
        <v>36</v>
      </c>
      <c r="B236" s="1" t="s">
        <v>42</v>
      </c>
      <c r="C236" s="2" t="s">
        <v>4</v>
      </c>
      <c r="D236" s="5">
        <v>0.29548333333333299</v>
      </c>
      <c r="E236">
        <v>9.0800000000000006E-2</v>
      </c>
      <c r="F236" s="5">
        <f t="shared" si="9"/>
        <v>0.204683333333333</v>
      </c>
      <c r="G236" s="5">
        <f t="shared" si="10"/>
        <v>0.2857142857142857</v>
      </c>
      <c r="H236">
        <f t="shared" si="11"/>
        <v>194.32393968253936</v>
      </c>
    </row>
    <row r="237" spans="1:8">
      <c r="A237" s="1" t="s">
        <v>36</v>
      </c>
      <c r="B237" s="1" t="s">
        <v>42</v>
      </c>
      <c r="C237" s="2" t="s">
        <v>6</v>
      </c>
      <c r="D237" s="5">
        <v>0.26278333333333298</v>
      </c>
      <c r="E237">
        <v>9.0800000000000006E-2</v>
      </c>
      <c r="F237" s="5">
        <f t="shared" si="9"/>
        <v>0.17198333333333299</v>
      </c>
      <c r="G237" s="5">
        <f t="shared" si="10"/>
        <v>0.2857142857142857</v>
      </c>
      <c r="H237">
        <f t="shared" si="11"/>
        <v>162.73885396825361</v>
      </c>
    </row>
    <row r="238" spans="1:8">
      <c r="A238" s="1" t="s">
        <v>36</v>
      </c>
      <c r="B238" s="1" t="s">
        <v>42</v>
      </c>
      <c r="C238" s="2" t="s">
        <v>7</v>
      </c>
      <c r="D238" s="5">
        <v>0.25578333333333297</v>
      </c>
      <c r="E238">
        <v>9.0800000000000006E-2</v>
      </c>
      <c r="F238" s="5">
        <f t="shared" si="9"/>
        <v>0.16498333333333298</v>
      </c>
      <c r="G238" s="5">
        <f t="shared" si="10"/>
        <v>0.2857142857142857</v>
      </c>
      <c r="H238">
        <f t="shared" si="11"/>
        <v>155.9775206349203</v>
      </c>
    </row>
    <row r="239" spans="1:8">
      <c r="A239" s="1" t="s">
        <v>36</v>
      </c>
      <c r="B239" s="1" t="s">
        <v>42</v>
      </c>
      <c r="C239" s="2" t="s">
        <v>8</v>
      </c>
      <c r="D239" s="5">
        <v>0.22418333333333301</v>
      </c>
      <c r="E239">
        <v>9.0800000000000006E-2</v>
      </c>
      <c r="F239" s="5">
        <f t="shared" si="9"/>
        <v>0.13338333333333302</v>
      </c>
      <c r="G239" s="5">
        <f t="shared" si="10"/>
        <v>0.2857142857142857</v>
      </c>
      <c r="H239">
        <f t="shared" si="11"/>
        <v>125.45493015872985</v>
      </c>
    </row>
    <row r="240" spans="1:8">
      <c r="A240" s="1" t="s">
        <v>36</v>
      </c>
      <c r="B240" s="1" t="s">
        <v>42</v>
      </c>
      <c r="C240" s="2" t="s">
        <v>10</v>
      </c>
      <c r="D240" s="5">
        <v>0.186283333333333</v>
      </c>
      <c r="E240">
        <v>9.0800000000000006E-2</v>
      </c>
      <c r="F240" s="5">
        <f t="shared" si="9"/>
        <v>9.548333333333299E-2</v>
      </c>
      <c r="G240" s="5">
        <f t="shared" si="10"/>
        <v>0.2857142857142857</v>
      </c>
      <c r="H240">
        <f t="shared" si="11"/>
        <v>88.84713968253935</v>
      </c>
    </row>
    <row r="241" spans="1:8">
      <c r="A241" s="1" t="s">
        <v>36</v>
      </c>
      <c r="B241" s="1" t="s">
        <v>42</v>
      </c>
      <c r="C241" s="2" t="s">
        <v>11</v>
      </c>
      <c r="D241" s="5">
        <v>0.23648333333333299</v>
      </c>
      <c r="E241">
        <v>9.0800000000000006E-2</v>
      </c>
      <c r="F241" s="5">
        <f t="shared" si="9"/>
        <v>0.145683333333333</v>
      </c>
      <c r="G241" s="5">
        <f t="shared" si="10"/>
        <v>0.2857142857142857</v>
      </c>
      <c r="H241">
        <f t="shared" si="11"/>
        <v>137.3355587301584</v>
      </c>
    </row>
    <row r="242" spans="1:8">
      <c r="A242" s="1" t="s">
        <v>36</v>
      </c>
      <c r="B242" s="1" t="s">
        <v>42</v>
      </c>
      <c r="C242" s="2" t="s">
        <v>12</v>
      </c>
      <c r="D242" s="5">
        <v>0.28598333333333298</v>
      </c>
      <c r="E242">
        <v>9.0800000000000006E-2</v>
      </c>
      <c r="F242" s="5">
        <f t="shared" si="9"/>
        <v>0.19518333333333299</v>
      </c>
      <c r="G242" s="5">
        <f t="shared" si="10"/>
        <v>0.2857142857142857</v>
      </c>
      <c r="H242">
        <f t="shared" si="11"/>
        <v>185.14784444444413</v>
      </c>
    </row>
    <row r="243" spans="1:8">
      <c r="A243" s="1" t="s">
        <v>36</v>
      </c>
      <c r="B243" s="1" t="s">
        <v>42</v>
      </c>
      <c r="C243" s="2" t="s">
        <v>14</v>
      </c>
      <c r="D243" s="5">
        <v>0.344783333333333</v>
      </c>
      <c r="E243">
        <v>9.0800000000000006E-2</v>
      </c>
      <c r="F243" s="5">
        <f t="shared" si="9"/>
        <v>0.25398333333333301</v>
      </c>
      <c r="G243" s="5">
        <f t="shared" si="10"/>
        <v>0.2857142857142857</v>
      </c>
      <c r="H243">
        <f t="shared" si="11"/>
        <v>241.94304444444415</v>
      </c>
    </row>
    <row r="244" spans="1:8">
      <c r="A244" s="1" t="s">
        <v>36</v>
      </c>
      <c r="B244" s="1" t="s">
        <v>42</v>
      </c>
      <c r="C244" s="2" t="s">
        <v>15</v>
      </c>
      <c r="D244" s="5">
        <v>0.31108333333333299</v>
      </c>
      <c r="E244">
        <v>9.0800000000000006E-2</v>
      </c>
      <c r="F244" s="5">
        <f t="shared" si="9"/>
        <v>0.220283333333333</v>
      </c>
      <c r="G244" s="5">
        <f t="shared" si="10"/>
        <v>0.2857142857142857</v>
      </c>
      <c r="H244">
        <f t="shared" si="11"/>
        <v>209.39205396825361</v>
      </c>
    </row>
    <row r="245" spans="1:8">
      <c r="A245" s="1" t="s">
        <v>36</v>
      </c>
      <c r="B245" s="1" t="s">
        <v>42</v>
      </c>
      <c r="C245" s="2" t="s">
        <v>16</v>
      </c>
      <c r="D245" s="5">
        <v>0.26378333333333298</v>
      </c>
      <c r="E245">
        <v>9.0800000000000006E-2</v>
      </c>
      <c r="F245" s="5">
        <f t="shared" si="9"/>
        <v>0.17298333333333299</v>
      </c>
      <c r="G245" s="5">
        <f t="shared" si="10"/>
        <v>0.2857142857142857</v>
      </c>
      <c r="H245">
        <f t="shared" si="11"/>
        <v>163.7047587301584</v>
      </c>
    </row>
    <row r="246" spans="1:8">
      <c r="A246" s="1" t="s">
        <v>36</v>
      </c>
      <c r="B246" s="1" t="s">
        <v>42</v>
      </c>
      <c r="C246" s="2" t="s">
        <v>18</v>
      </c>
      <c r="D246" s="5">
        <v>0.247483333333333</v>
      </c>
      <c r="E246">
        <v>9.0800000000000006E-2</v>
      </c>
      <c r="F246" s="5">
        <f t="shared" si="9"/>
        <v>0.15668333333333301</v>
      </c>
      <c r="G246" s="5">
        <f t="shared" si="10"/>
        <v>0.2857142857142857</v>
      </c>
      <c r="H246">
        <f t="shared" si="11"/>
        <v>147.96051111111078</v>
      </c>
    </row>
    <row r="247" spans="1:8">
      <c r="A247" s="1" t="s">
        <v>36</v>
      </c>
      <c r="B247" s="1" t="s">
        <v>42</v>
      </c>
      <c r="C247" s="2" t="s">
        <v>19</v>
      </c>
      <c r="D247" s="5">
        <v>0.26788333333333297</v>
      </c>
      <c r="E247">
        <v>9.0800000000000006E-2</v>
      </c>
      <c r="F247" s="5">
        <f t="shared" si="9"/>
        <v>0.17708333333333298</v>
      </c>
      <c r="G247" s="5">
        <f t="shared" si="10"/>
        <v>0.2857142857142857</v>
      </c>
      <c r="H247">
        <f t="shared" si="11"/>
        <v>167.66496825396791</v>
      </c>
    </row>
    <row r="248" spans="1:8">
      <c r="A248" s="1" t="s">
        <v>36</v>
      </c>
      <c r="B248" s="1" t="s">
        <v>42</v>
      </c>
      <c r="C248" s="2" t="s">
        <v>20</v>
      </c>
      <c r="D248" s="5">
        <v>0.329683333333333</v>
      </c>
      <c r="E248">
        <v>9.0800000000000006E-2</v>
      </c>
      <c r="F248" s="5">
        <f t="shared" si="9"/>
        <v>0.238883333333333</v>
      </c>
      <c r="G248" s="5">
        <f t="shared" si="10"/>
        <v>0.2857142857142857</v>
      </c>
      <c r="H248">
        <f t="shared" si="11"/>
        <v>227.35788253968221</v>
      </c>
    </row>
    <row r="249" spans="1:8">
      <c r="A249" s="1" t="s">
        <v>36</v>
      </c>
      <c r="B249" s="1" t="s">
        <v>42</v>
      </c>
      <c r="C249" s="2" t="s">
        <v>22</v>
      </c>
      <c r="D249" s="5">
        <v>0.37998333333333301</v>
      </c>
      <c r="E249">
        <v>9.0800000000000006E-2</v>
      </c>
      <c r="F249" s="5">
        <f t="shared" si="9"/>
        <v>0.28918333333333301</v>
      </c>
      <c r="G249" s="5">
        <f t="shared" si="10"/>
        <v>0.2857142857142857</v>
      </c>
      <c r="H249">
        <f t="shared" si="11"/>
        <v>275.94289206349168</v>
      </c>
    </row>
    <row r="250" spans="1:8">
      <c r="A250" s="1" t="s">
        <v>36</v>
      </c>
      <c r="B250" s="1" t="s">
        <v>42</v>
      </c>
      <c r="C250" s="2" t="s">
        <v>23</v>
      </c>
      <c r="D250" s="5">
        <v>0.28118333333333301</v>
      </c>
      <c r="E250">
        <v>9.0800000000000006E-2</v>
      </c>
      <c r="F250" s="5">
        <f t="shared" si="9"/>
        <v>0.19038333333333302</v>
      </c>
      <c r="G250" s="5">
        <f t="shared" si="10"/>
        <v>0.2857142857142857</v>
      </c>
      <c r="H250">
        <f t="shared" si="11"/>
        <v>180.51150158730127</v>
      </c>
    </row>
    <row r="251" spans="1:8">
      <c r="A251" s="1" t="s">
        <v>36</v>
      </c>
      <c r="B251" s="1" t="s">
        <v>42</v>
      </c>
      <c r="C251" s="2" t="s">
        <v>24</v>
      </c>
      <c r="D251" s="5">
        <v>0.28498333333333298</v>
      </c>
      <c r="E251">
        <v>9.0800000000000006E-2</v>
      </c>
      <c r="F251" s="5">
        <f t="shared" si="9"/>
        <v>0.19418333333333299</v>
      </c>
      <c r="G251" s="5">
        <f t="shared" si="10"/>
        <v>0.2857142857142857</v>
      </c>
      <c r="H251">
        <f t="shared" si="11"/>
        <v>184.18193968253934</v>
      </c>
    </row>
    <row r="252" spans="1:8">
      <c r="A252" s="1" t="s">
        <v>36</v>
      </c>
      <c r="B252" s="1" t="s">
        <v>42</v>
      </c>
      <c r="C252" s="2" t="s">
        <v>26</v>
      </c>
      <c r="D252" s="5">
        <v>0.37388333333333301</v>
      </c>
      <c r="E252">
        <v>9.0800000000000006E-2</v>
      </c>
      <c r="F252" s="5">
        <f t="shared" si="9"/>
        <v>0.28308333333333302</v>
      </c>
      <c r="G252" s="5">
        <f t="shared" si="10"/>
        <v>0.2857142857142857</v>
      </c>
      <c r="H252">
        <f t="shared" si="11"/>
        <v>270.05087301587264</v>
      </c>
    </row>
    <row r="253" spans="1:8">
      <c r="A253" s="1" t="s">
        <v>36</v>
      </c>
      <c r="B253" s="1" t="s">
        <v>42</v>
      </c>
      <c r="C253" s="2" t="s">
        <v>27</v>
      </c>
      <c r="D253" s="5">
        <v>0.252483333333333</v>
      </c>
      <c r="E253">
        <v>9.0800000000000006E-2</v>
      </c>
      <c r="F253" s="5">
        <f t="shared" si="9"/>
        <v>0.16168333333333301</v>
      </c>
      <c r="G253" s="5">
        <f t="shared" si="10"/>
        <v>0.2857142857142857</v>
      </c>
      <c r="H253">
        <f t="shared" si="11"/>
        <v>152.79003492063461</v>
      </c>
    </row>
    <row r="254" spans="1:8">
      <c r="A254" s="1" t="s">
        <v>36</v>
      </c>
      <c r="B254" s="1" t="s">
        <v>43</v>
      </c>
      <c r="C254" s="2" t="s">
        <v>4</v>
      </c>
      <c r="D254" s="5">
        <v>0.37726666666666703</v>
      </c>
      <c r="E254">
        <v>9.0800000000000006E-2</v>
      </c>
      <c r="F254" s="5">
        <f t="shared" si="9"/>
        <v>0.28646666666666704</v>
      </c>
      <c r="G254" s="5">
        <f t="shared" si="10"/>
        <v>0.2857142857142857</v>
      </c>
      <c r="H254">
        <f t="shared" si="11"/>
        <v>273.31885079365117</v>
      </c>
    </row>
    <row r="255" spans="1:8">
      <c r="A255" s="1" t="s">
        <v>36</v>
      </c>
      <c r="B255" s="1" t="s">
        <v>43</v>
      </c>
      <c r="C255" s="2" t="s">
        <v>6</v>
      </c>
      <c r="D255" s="5">
        <v>0.26236666666666703</v>
      </c>
      <c r="E255">
        <v>9.0800000000000006E-2</v>
      </c>
      <c r="F255" s="5">
        <f t="shared" si="9"/>
        <v>0.17156666666666703</v>
      </c>
      <c r="G255" s="5">
        <f t="shared" si="10"/>
        <v>0.2857142857142857</v>
      </c>
      <c r="H255">
        <f t="shared" si="11"/>
        <v>162.33639365079404</v>
      </c>
    </row>
    <row r="256" spans="1:8">
      <c r="A256" s="1" t="s">
        <v>36</v>
      </c>
      <c r="B256" s="1" t="s">
        <v>43</v>
      </c>
      <c r="C256" s="2" t="s">
        <v>7</v>
      </c>
      <c r="D256" s="5">
        <v>0.20986666666666701</v>
      </c>
      <c r="E256">
        <v>9.0800000000000006E-2</v>
      </c>
      <c r="F256" s="5">
        <f t="shared" si="9"/>
        <v>0.119066666666667</v>
      </c>
      <c r="G256" s="5">
        <f t="shared" si="10"/>
        <v>0.2857142857142857</v>
      </c>
      <c r="H256">
        <f t="shared" si="11"/>
        <v>111.62639365079397</v>
      </c>
    </row>
    <row r="257" spans="1:8">
      <c r="A257" s="1" t="s">
        <v>36</v>
      </c>
      <c r="B257" s="1" t="s">
        <v>43</v>
      </c>
      <c r="C257" s="2" t="s">
        <v>8</v>
      </c>
      <c r="D257" s="5">
        <v>0.26036666666666702</v>
      </c>
      <c r="E257">
        <v>9.0800000000000006E-2</v>
      </c>
      <c r="F257" s="5">
        <f t="shared" si="9"/>
        <v>0.16956666666666703</v>
      </c>
      <c r="G257" s="5">
        <f t="shared" si="10"/>
        <v>0.2857142857142857</v>
      </c>
      <c r="H257">
        <f t="shared" si="11"/>
        <v>160.40458412698447</v>
      </c>
    </row>
    <row r="258" spans="1:8">
      <c r="A258" s="1" t="s">
        <v>36</v>
      </c>
      <c r="B258" s="1" t="s">
        <v>43</v>
      </c>
      <c r="C258" s="2" t="s">
        <v>10</v>
      </c>
      <c r="D258" s="5">
        <v>0.261566666666667</v>
      </c>
      <c r="E258">
        <v>9.0800000000000006E-2</v>
      </c>
      <c r="F258" s="5">
        <f t="shared" si="9"/>
        <v>0.17076666666666701</v>
      </c>
      <c r="G258" s="5">
        <f t="shared" si="10"/>
        <v>0.2857142857142857</v>
      </c>
      <c r="H258">
        <f t="shared" si="11"/>
        <v>161.56366984127015</v>
      </c>
    </row>
    <row r="259" spans="1:8">
      <c r="A259" s="1" t="s">
        <v>36</v>
      </c>
      <c r="B259" s="1" t="s">
        <v>43</v>
      </c>
      <c r="C259" s="2" t="s">
        <v>11</v>
      </c>
      <c r="D259" s="5">
        <v>0.26176666666666698</v>
      </c>
      <c r="E259">
        <v>9.0800000000000006E-2</v>
      </c>
      <c r="F259" s="5">
        <f t="shared" ref="F259:F289" si="12">D259-E259</f>
        <v>0.17096666666666699</v>
      </c>
      <c r="G259" s="5">
        <f t="shared" ref="G259:G289" si="13">1/3.5</f>
        <v>0.2857142857142857</v>
      </c>
      <c r="H259">
        <f t="shared" ref="H259:H289" si="14">0.5071*(F259-0.0035)/0.15*G259*1000</f>
        <v>161.7568507936511</v>
      </c>
    </row>
    <row r="260" spans="1:8">
      <c r="A260" s="1" t="s">
        <v>36</v>
      </c>
      <c r="B260" s="1" t="s">
        <v>43</v>
      </c>
      <c r="C260" s="2" t="s">
        <v>12</v>
      </c>
      <c r="D260" s="5">
        <v>0.449066666666667</v>
      </c>
      <c r="E260">
        <v>9.0800000000000006E-2</v>
      </c>
      <c r="F260" s="5">
        <f t="shared" si="12"/>
        <v>0.35826666666666701</v>
      </c>
      <c r="G260" s="5">
        <f t="shared" si="13"/>
        <v>0.2857142857142857</v>
      </c>
      <c r="H260">
        <f t="shared" si="14"/>
        <v>342.67081269841304</v>
      </c>
    </row>
    <row r="261" spans="1:8">
      <c r="A261" s="1" t="s">
        <v>36</v>
      </c>
      <c r="B261" s="1" t="s">
        <v>43</v>
      </c>
      <c r="C261" s="2" t="s">
        <v>14</v>
      </c>
      <c r="D261" s="5">
        <v>0.26806666666666701</v>
      </c>
      <c r="E261">
        <v>9.0800000000000006E-2</v>
      </c>
      <c r="F261" s="5">
        <f t="shared" si="12"/>
        <v>0.17726666666666702</v>
      </c>
      <c r="G261" s="5">
        <f t="shared" si="13"/>
        <v>0.2857142857142857</v>
      </c>
      <c r="H261">
        <f t="shared" si="14"/>
        <v>167.84205079365111</v>
      </c>
    </row>
    <row r="262" spans="1:8">
      <c r="A262" s="1" t="s">
        <v>36</v>
      </c>
      <c r="B262" s="1" t="s">
        <v>43</v>
      </c>
      <c r="C262" s="2" t="s">
        <v>15</v>
      </c>
      <c r="D262" s="5">
        <v>0.24626666666666699</v>
      </c>
      <c r="E262">
        <v>9.0800000000000006E-2</v>
      </c>
      <c r="F262" s="5">
        <f t="shared" si="12"/>
        <v>0.15546666666666697</v>
      </c>
      <c r="G262" s="5">
        <f t="shared" si="13"/>
        <v>0.2857142857142857</v>
      </c>
      <c r="H262">
        <f t="shared" si="14"/>
        <v>146.78532698412727</v>
      </c>
    </row>
    <row r="263" spans="1:8">
      <c r="A263" s="1" t="s">
        <v>36</v>
      </c>
      <c r="B263" s="1" t="s">
        <v>43</v>
      </c>
      <c r="C263" s="2" t="s">
        <v>16</v>
      </c>
      <c r="D263" s="5">
        <v>0.25286666666666702</v>
      </c>
      <c r="E263">
        <v>9.0800000000000006E-2</v>
      </c>
      <c r="F263" s="5">
        <f t="shared" si="12"/>
        <v>0.16206666666666703</v>
      </c>
      <c r="G263" s="5">
        <f t="shared" si="13"/>
        <v>0.2857142857142857</v>
      </c>
      <c r="H263">
        <f t="shared" si="14"/>
        <v>153.16029841269875</v>
      </c>
    </row>
    <row r="264" spans="1:8">
      <c r="A264" s="1" t="s">
        <v>36</v>
      </c>
      <c r="B264" s="1" t="s">
        <v>43</v>
      </c>
      <c r="C264" s="2" t="s">
        <v>18</v>
      </c>
      <c r="D264" s="5">
        <v>0.25066666666666698</v>
      </c>
      <c r="E264">
        <v>9.0800000000000006E-2</v>
      </c>
      <c r="F264" s="5">
        <f t="shared" si="12"/>
        <v>0.15986666666666699</v>
      </c>
      <c r="G264" s="5">
        <f t="shared" si="13"/>
        <v>0.2857142857142857</v>
      </c>
      <c r="H264">
        <f t="shared" si="14"/>
        <v>151.03530793650825</v>
      </c>
    </row>
    <row r="265" spans="1:8">
      <c r="A265" s="1" t="s">
        <v>36</v>
      </c>
      <c r="B265" s="1" t="s">
        <v>43</v>
      </c>
      <c r="C265" s="2" t="s">
        <v>19</v>
      </c>
      <c r="D265" s="5">
        <v>0.29366666666666702</v>
      </c>
      <c r="E265">
        <v>9.0800000000000006E-2</v>
      </c>
      <c r="F265" s="5">
        <f t="shared" si="12"/>
        <v>0.20286666666666703</v>
      </c>
      <c r="G265" s="5">
        <f t="shared" si="13"/>
        <v>0.2857142857142857</v>
      </c>
      <c r="H265">
        <f t="shared" si="14"/>
        <v>192.56921269841303</v>
      </c>
    </row>
    <row r="266" spans="1:8">
      <c r="A266" s="1" t="s">
        <v>36</v>
      </c>
      <c r="B266" s="1" t="s">
        <v>43</v>
      </c>
      <c r="C266" s="2" t="s">
        <v>20</v>
      </c>
      <c r="D266" s="5">
        <v>0.260066666666667</v>
      </c>
      <c r="E266">
        <v>9.0800000000000006E-2</v>
      </c>
      <c r="F266" s="5">
        <f t="shared" si="12"/>
        <v>0.16926666666666701</v>
      </c>
      <c r="G266" s="5">
        <f t="shared" si="13"/>
        <v>0.2857142857142857</v>
      </c>
      <c r="H266">
        <f t="shared" si="14"/>
        <v>160.114812698413</v>
      </c>
    </row>
    <row r="267" spans="1:8">
      <c r="A267" s="1" t="s">
        <v>36</v>
      </c>
      <c r="B267" s="1" t="s">
        <v>43</v>
      </c>
      <c r="C267" s="2" t="s">
        <v>22</v>
      </c>
      <c r="D267" s="5">
        <v>0.29456666666666698</v>
      </c>
      <c r="E267">
        <v>9.0800000000000006E-2</v>
      </c>
      <c r="F267" s="5">
        <f t="shared" si="12"/>
        <v>0.20376666666666698</v>
      </c>
      <c r="G267" s="5">
        <f t="shared" si="13"/>
        <v>0.2857142857142857</v>
      </c>
      <c r="H267">
        <f t="shared" si="14"/>
        <v>193.43852698412729</v>
      </c>
    </row>
    <row r="268" spans="1:8">
      <c r="A268" s="1" t="s">
        <v>36</v>
      </c>
      <c r="B268" s="1" t="s">
        <v>43</v>
      </c>
      <c r="C268" s="2" t="s">
        <v>23</v>
      </c>
      <c r="D268" s="5">
        <v>0.266166666666667</v>
      </c>
      <c r="E268">
        <v>9.0800000000000006E-2</v>
      </c>
      <c r="F268" s="5">
        <f t="shared" si="12"/>
        <v>0.175366666666667</v>
      </c>
      <c r="G268" s="5">
        <f t="shared" si="13"/>
        <v>0.2857142857142857</v>
      </c>
      <c r="H268">
        <f t="shared" si="14"/>
        <v>166.00683174603208</v>
      </c>
    </row>
    <row r="269" spans="1:8">
      <c r="A269" s="1" t="s">
        <v>36</v>
      </c>
      <c r="B269" s="1" t="s">
        <v>43</v>
      </c>
      <c r="C269" s="2" t="s">
        <v>24</v>
      </c>
      <c r="D269" s="5">
        <v>0.24036666666666701</v>
      </c>
      <c r="E269">
        <v>9.0800000000000006E-2</v>
      </c>
      <c r="F269" s="5">
        <f t="shared" si="12"/>
        <v>0.14956666666666701</v>
      </c>
      <c r="G269" s="5">
        <f t="shared" si="13"/>
        <v>0.2857142857142857</v>
      </c>
      <c r="H269">
        <f t="shared" si="14"/>
        <v>141.08648888888922</v>
      </c>
    </row>
    <row r="270" spans="1:8">
      <c r="A270" s="1" t="s">
        <v>36</v>
      </c>
      <c r="B270" s="1" t="s">
        <v>43</v>
      </c>
      <c r="C270" s="2" t="s">
        <v>26</v>
      </c>
      <c r="D270" s="5">
        <v>0.47976666666666701</v>
      </c>
      <c r="E270">
        <v>9.0800000000000006E-2</v>
      </c>
      <c r="F270" s="5">
        <f t="shared" si="12"/>
        <v>0.38896666666666702</v>
      </c>
      <c r="G270" s="5">
        <f t="shared" si="13"/>
        <v>0.2857142857142857</v>
      </c>
      <c r="H270">
        <f t="shared" si="14"/>
        <v>372.32408888888926</v>
      </c>
    </row>
    <row r="271" spans="1:8">
      <c r="A271" s="1" t="s">
        <v>36</v>
      </c>
      <c r="B271" s="1" t="s">
        <v>43</v>
      </c>
      <c r="C271" s="2" t="s">
        <v>27</v>
      </c>
      <c r="D271" s="5">
        <v>0.32436666666666703</v>
      </c>
      <c r="E271">
        <v>9.0800000000000006E-2</v>
      </c>
      <c r="F271" s="5">
        <f t="shared" si="12"/>
        <v>0.23356666666666703</v>
      </c>
      <c r="G271" s="5">
        <f t="shared" si="13"/>
        <v>0.2857142857142857</v>
      </c>
      <c r="H271">
        <f t="shared" si="14"/>
        <v>222.22248888888922</v>
      </c>
    </row>
    <row r="272" spans="1:8">
      <c r="A272" s="1" t="s">
        <v>36</v>
      </c>
      <c r="B272" s="1" t="s">
        <v>44</v>
      </c>
      <c r="C272" s="2" t="s">
        <v>4</v>
      </c>
      <c r="D272" s="5">
        <v>0.17018333333333299</v>
      </c>
      <c r="E272">
        <v>9.0800000000000006E-2</v>
      </c>
      <c r="F272" s="5">
        <f t="shared" si="12"/>
        <v>7.9383333333332987E-2</v>
      </c>
      <c r="G272" s="5">
        <f t="shared" si="13"/>
        <v>0.2857142857142857</v>
      </c>
      <c r="H272">
        <f t="shared" si="14"/>
        <v>73.296073015872693</v>
      </c>
    </row>
    <row r="273" spans="1:8">
      <c r="A273" s="1" t="s">
        <v>36</v>
      </c>
      <c r="B273" s="1" t="s">
        <v>44</v>
      </c>
      <c r="C273" s="2" t="s">
        <v>6</v>
      </c>
      <c r="D273" s="5">
        <v>0.27728333333333299</v>
      </c>
      <c r="E273">
        <v>9.0800000000000006E-2</v>
      </c>
      <c r="F273" s="5">
        <f t="shared" si="12"/>
        <v>0.186483333333333</v>
      </c>
      <c r="G273" s="5">
        <f t="shared" si="13"/>
        <v>0.2857142857142857</v>
      </c>
      <c r="H273">
        <f t="shared" si="14"/>
        <v>176.7444730158727</v>
      </c>
    </row>
    <row r="274" spans="1:8">
      <c r="A274" s="1" t="s">
        <v>36</v>
      </c>
      <c r="B274" s="1" t="s">
        <v>44</v>
      </c>
      <c r="C274" s="2" t="s">
        <v>7</v>
      </c>
      <c r="D274" s="5">
        <v>0.202883333333333</v>
      </c>
      <c r="E274">
        <v>9.0800000000000006E-2</v>
      </c>
      <c r="F274" s="5">
        <f t="shared" si="12"/>
        <v>0.11208333333333299</v>
      </c>
      <c r="G274" s="5">
        <f t="shared" si="13"/>
        <v>0.2857142857142857</v>
      </c>
      <c r="H274">
        <f t="shared" si="14"/>
        <v>104.88115873015839</v>
      </c>
    </row>
    <row r="275" spans="1:8">
      <c r="A275" s="1" t="s">
        <v>36</v>
      </c>
      <c r="B275" s="1" t="s">
        <v>44</v>
      </c>
      <c r="C275" s="2" t="s">
        <v>8</v>
      </c>
      <c r="D275" s="5">
        <v>0.20778333333333299</v>
      </c>
      <c r="E275">
        <v>9.0800000000000006E-2</v>
      </c>
      <c r="F275" s="5">
        <f t="shared" si="12"/>
        <v>0.11698333333333298</v>
      </c>
      <c r="G275" s="5">
        <f t="shared" si="13"/>
        <v>0.2857142857142857</v>
      </c>
      <c r="H275">
        <f t="shared" si="14"/>
        <v>109.61409206349173</v>
      </c>
    </row>
    <row r="276" spans="1:8">
      <c r="A276" s="1" t="s">
        <v>36</v>
      </c>
      <c r="B276" s="1" t="s">
        <v>44</v>
      </c>
      <c r="C276" s="2" t="s">
        <v>10</v>
      </c>
      <c r="D276" s="5">
        <v>0.33188333333333297</v>
      </c>
      <c r="E276">
        <v>9.0800000000000006E-2</v>
      </c>
      <c r="F276" s="5">
        <f t="shared" si="12"/>
        <v>0.24108333333333298</v>
      </c>
      <c r="G276" s="5">
        <f t="shared" si="13"/>
        <v>0.2857142857142857</v>
      </c>
      <c r="H276">
        <f t="shared" si="14"/>
        <v>229.48287301587266</v>
      </c>
    </row>
    <row r="277" spans="1:8">
      <c r="A277" s="1" t="s">
        <v>36</v>
      </c>
      <c r="B277" s="1" t="s">
        <v>44</v>
      </c>
      <c r="C277" s="2" t="s">
        <v>11</v>
      </c>
      <c r="D277" s="5">
        <v>0.24718333333333301</v>
      </c>
      <c r="E277">
        <v>9.0800000000000006E-2</v>
      </c>
      <c r="F277" s="5">
        <f t="shared" si="12"/>
        <v>0.15638333333333299</v>
      </c>
      <c r="G277" s="5">
        <f t="shared" si="13"/>
        <v>0.2857142857142857</v>
      </c>
      <c r="H277">
        <f t="shared" si="14"/>
        <v>147.67073968253933</v>
      </c>
    </row>
    <row r="278" spans="1:8">
      <c r="A278" s="1" t="s">
        <v>36</v>
      </c>
      <c r="B278" s="1" t="s">
        <v>44</v>
      </c>
      <c r="C278" s="2" t="s">
        <v>12</v>
      </c>
      <c r="D278" s="5">
        <v>0.25898333333333301</v>
      </c>
      <c r="E278">
        <v>9.0800000000000006E-2</v>
      </c>
      <c r="F278" s="5">
        <f t="shared" si="12"/>
        <v>0.16818333333333302</v>
      </c>
      <c r="G278" s="5">
        <f t="shared" si="13"/>
        <v>0.2857142857142857</v>
      </c>
      <c r="H278">
        <f t="shared" si="14"/>
        <v>159.06841587301557</v>
      </c>
    </row>
    <row r="279" spans="1:8">
      <c r="A279" s="1" t="s">
        <v>36</v>
      </c>
      <c r="B279" s="1" t="s">
        <v>44</v>
      </c>
      <c r="C279" s="2" t="s">
        <v>14</v>
      </c>
      <c r="D279" s="5">
        <v>0.237383333333333</v>
      </c>
      <c r="E279">
        <v>9.0800000000000006E-2</v>
      </c>
      <c r="F279" s="5">
        <f t="shared" si="12"/>
        <v>0.14658333333333301</v>
      </c>
      <c r="G279" s="5">
        <f t="shared" si="13"/>
        <v>0.2857142857142857</v>
      </c>
      <c r="H279">
        <f t="shared" si="14"/>
        <v>138.20487301587269</v>
      </c>
    </row>
    <row r="280" spans="1:8">
      <c r="A280" s="1" t="s">
        <v>36</v>
      </c>
      <c r="B280" s="1" t="s">
        <v>44</v>
      </c>
      <c r="C280" s="2" t="s">
        <v>15</v>
      </c>
      <c r="D280" s="5">
        <v>0.25348333333333301</v>
      </c>
      <c r="E280">
        <v>9.0800000000000006E-2</v>
      </c>
      <c r="F280" s="5">
        <f t="shared" si="12"/>
        <v>0.16268333333333301</v>
      </c>
      <c r="G280" s="5">
        <f t="shared" si="13"/>
        <v>0.2857142857142857</v>
      </c>
      <c r="H280">
        <f t="shared" si="14"/>
        <v>153.75593968253941</v>
      </c>
    </row>
    <row r="281" spans="1:8">
      <c r="A281" s="1" t="s">
        <v>36</v>
      </c>
      <c r="B281" s="1" t="s">
        <v>44</v>
      </c>
      <c r="C281" s="2" t="s">
        <v>16</v>
      </c>
      <c r="D281" s="5">
        <v>0.180683333333333</v>
      </c>
      <c r="E281">
        <v>9.0800000000000006E-2</v>
      </c>
      <c r="F281" s="5">
        <f t="shared" si="12"/>
        <v>8.9883333333332996E-2</v>
      </c>
      <c r="G281" s="5">
        <f t="shared" si="13"/>
        <v>0.2857142857142857</v>
      </c>
      <c r="H281">
        <f t="shared" si="14"/>
        <v>83.438073015872689</v>
      </c>
    </row>
    <row r="282" spans="1:8">
      <c r="A282" s="1" t="s">
        <v>36</v>
      </c>
      <c r="B282" s="1" t="s">
        <v>44</v>
      </c>
      <c r="C282" s="2" t="s">
        <v>18</v>
      </c>
      <c r="D282" s="5">
        <v>0.19718333333333299</v>
      </c>
      <c r="E282">
        <v>9.0800000000000006E-2</v>
      </c>
      <c r="F282" s="5">
        <f t="shared" si="12"/>
        <v>0.10638333333333298</v>
      </c>
      <c r="G282" s="5">
        <f t="shared" si="13"/>
        <v>0.2857142857142857</v>
      </c>
      <c r="H282">
        <f t="shared" si="14"/>
        <v>99.375501587301244</v>
      </c>
    </row>
    <row r="283" spans="1:8">
      <c r="A283" s="1" t="s">
        <v>36</v>
      </c>
      <c r="B283" s="1" t="s">
        <v>44</v>
      </c>
      <c r="C283" s="2" t="s">
        <v>19</v>
      </c>
      <c r="D283" s="5">
        <v>0.223783333333333</v>
      </c>
      <c r="E283">
        <v>9.0800000000000006E-2</v>
      </c>
      <c r="F283" s="5">
        <f t="shared" si="12"/>
        <v>0.13298333333333301</v>
      </c>
      <c r="G283" s="5">
        <f t="shared" si="13"/>
        <v>0.2857142857142857</v>
      </c>
      <c r="H283">
        <f t="shared" si="14"/>
        <v>125.06856825396792</v>
      </c>
    </row>
    <row r="284" spans="1:8">
      <c r="A284" s="1" t="s">
        <v>36</v>
      </c>
      <c r="B284" s="1" t="s">
        <v>44</v>
      </c>
      <c r="C284" s="2" t="s">
        <v>20</v>
      </c>
      <c r="D284" s="5">
        <v>0.259083333333333</v>
      </c>
      <c r="E284">
        <v>9.0800000000000006E-2</v>
      </c>
      <c r="F284" s="5">
        <f t="shared" si="12"/>
        <v>0.16828333333333301</v>
      </c>
      <c r="G284" s="5">
        <f t="shared" si="13"/>
        <v>0.2857142857142857</v>
      </c>
      <c r="H284">
        <f t="shared" si="14"/>
        <v>159.16500634920604</v>
      </c>
    </row>
    <row r="285" spans="1:8">
      <c r="A285" s="1" t="s">
        <v>36</v>
      </c>
      <c r="B285" s="1" t="s">
        <v>44</v>
      </c>
      <c r="C285" s="2" t="s">
        <v>22</v>
      </c>
      <c r="D285" s="5">
        <v>0.41768333333333302</v>
      </c>
      <c r="E285">
        <v>9.0800000000000006E-2</v>
      </c>
      <c r="F285" s="5">
        <f t="shared" si="12"/>
        <v>0.32688333333333303</v>
      </c>
      <c r="G285" s="5">
        <f t="shared" si="13"/>
        <v>0.2857142857142857</v>
      </c>
      <c r="H285">
        <f t="shared" si="14"/>
        <v>312.35750158730133</v>
      </c>
    </row>
    <row r="286" spans="1:8">
      <c r="A286" s="1" t="s">
        <v>36</v>
      </c>
      <c r="B286" s="1" t="s">
        <v>44</v>
      </c>
      <c r="C286" s="2" t="s">
        <v>23</v>
      </c>
      <c r="D286" s="5">
        <v>0.31828333333333297</v>
      </c>
      <c r="E286">
        <v>9.0800000000000006E-2</v>
      </c>
      <c r="F286" s="5">
        <f t="shared" si="12"/>
        <v>0.22748333333333298</v>
      </c>
      <c r="G286" s="5">
        <f t="shared" si="13"/>
        <v>0.2857142857142857</v>
      </c>
      <c r="H286">
        <f t="shared" si="14"/>
        <v>216.34656825396792</v>
      </c>
    </row>
    <row r="287" spans="1:8">
      <c r="A287" s="1" t="s">
        <v>36</v>
      </c>
      <c r="B287" s="1" t="s">
        <v>44</v>
      </c>
      <c r="C287" s="2" t="s">
        <v>24</v>
      </c>
      <c r="D287" s="5">
        <v>0.36118333333333302</v>
      </c>
      <c r="E287">
        <v>9.0800000000000006E-2</v>
      </c>
      <c r="F287" s="5">
        <f t="shared" si="12"/>
        <v>0.27038333333333303</v>
      </c>
      <c r="G287" s="5">
        <f t="shared" si="13"/>
        <v>0.2857142857142857</v>
      </c>
      <c r="H287">
        <f t="shared" si="14"/>
        <v>257.78388253968228</v>
      </c>
    </row>
    <row r="288" spans="1:8">
      <c r="A288" s="1" t="s">
        <v>36</v>
      </c>
      <c r="B288" s="1" t="s">
        <v>44</v>
      </c>
      <c r="C288" s="2" t="s">
        <v>26</v>
      </c>
      <c r="D288" s="5">
        <v>0.35958333333333298</v>
      </c>
      <c r="E288">
        <v>9.0800000000000006E-2</v>
      </c>
      <c r="F288" s="5">
        <f t="shared" si="12"/>
        <v>0.26878333333333299</v>
      </c>
      <c r="G288" s="5">
        <f t="shared" si="13"/>
        <v>0.2857142857142857</v>
      </c>
      <c r="H288">
        <f t="shared" si="14"/>
        <v>256.23843492063457</v>
      </c>
    </row>
    <row r="289" spans="1:8">
      <c r="A289" s="1" t="s">
        <v>36</v>
      </c>
      <c r="B289" s="1" t="s">
        <v>44</v>
      </c>
      <c r="C289" s="2" t="s">
        <v>27</v>
      </c>
      <c r="D289" s="5">
        <v>0.243183333333333</v>
      </c>
      <c r="E289">
        <v>9.0800000000000006E-2</v>
      </c>
      <c r="F289" s="5">
        <f t="shared" si="12"/>
        <v>0.15238333333333298</v>
      </c>
      <c r="G289" s="5">
        <f t="shared" si="13"/>
        <v>0.2857142857142857</v>
      </c>
      <c r="H289">
        <f t="shared" si="14"/>
        <v>143.8071206349203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F0BE-0505-054F-9C20-975AE017718A}">
  <dimension ref="A1:H289"/>
  <sheetViews>
    <sheetView zoomScale="134" workbookViewId="0">
      <selection activeCell="H2" sqref="H2:H289"/>
    </sheetView>
  </sheetViews>
  <sheetFormatPr baseColWidth="10" defaultRowHeight="16"/>
  <cols>
    <col min="1" max="3" width="10.83203125" style="1"/>
    <col min="4" max="4" width="10.83203125" style="5"/>
  </cols>
  <sheetData>
    <row r="1" spans="1:8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70</v>
      </c>
      <c r="H1" s="1" t="s">
        <v>66</v>
      </c>
    </row>
    <row r="2" spans="1:8">
      <c r="A2" s="1" t="s">
        <v>35</v>
      </c>
      <c r="B2" s="1" t="s">
        <v>28</v>
      </c>
      <c r="C2" s="1" t="s">
        <v>5</v>
      </c>
      <c r="D2" s="5">
        <v>0.58894999999999997</v>
      </c>
      <c r="E2">
        <v>9.0800000000000006E-2</v>
      </c>
      <c r="F2" s="5">
        <f>D2-E2</f>
        <v>0.49814999999999998</v>
      </c>
      <c r="G2" s="12">
        <v>1</v>
      </c>
      <c r="H2">
        <f>0.5071*(F2-0.0035)/0.05*G2</f>
        <v>5.0167402999999995</v>
      </c>
    </row>
    <row r="3" spans="1:8">
      <c r="A3" s="1" t="s">
        <v>35</v>
      </c>
      <c r="B3" s="1" t="s">
        <v>28</v>
      </c>
      <c r="C3" s="1" t="s">
        <v>6</v>
      </c>
      <c r="D3" s="5">
        <v>0.57235000000000003</v>
      </c>
      <c r="E3">
        <v>9.0800000000000006E-2</v>
      </c>
      <c r="F3" s="5">
        <f t="shared" ref="F3:F66" si="0">D3-E3</f>
        <v>0.48155000000000003</v>
      </c>
      <c r="G3" s="12">
        <v>1</v>
      </c>
      <c r="H3">
        <f t="shared" ref="H3:H66" si="1">0.5071*(F3-0.0035)/0.05*G3</f>
        <v>4.8483831000000004</v>
      </c>
    </row>
    <row r="4" spans="1:8">
      <c r="A4" s="1" t="s">
        <v>35</v>
      </c>
      <c r="B4" s="1" t="s">
        <v>28</v>
      </c>
      <c r="C4" s="1" t="s">
        <v>7</v>
      </c>
      <c r="D4" s="5">
        <v>0.65034999999999998</v>
      </c>
      <c r="E4">
        <v>9.0800000000000006E-2</v>
      </c>
      <c r="F4" s="5">
        <f t="shared" si="0"/>
        <v>0.55954999999999999</v>
      </c>
      <c r="G4" s="12">
        <v>1</v>
      </c>
      <c r="H4">
        <f t="shared" si="1"/>
        <v>5.6394590999999998</v>
      </c>
    </row>
    <row r="5" spans="1:8">
      <c r="A5" s="1" t="s">
        <v>35</v>
      </c>
      <c r="B5" s="1" t="s">
        <v>28</v>
      </c>
      <c r="C5" s="1" t="s">
        <v>9</v>
      </c>
      <c r="D5" s="5">
        <v>0.79205000000000003</v>
      </c>
      <c r="E5">
        <v>9.0800000000000006E-2</v>
      </c>
      <c r="F5" s="5">
        <f t="shared" si="0"/>
        <v>0.70125000000000004</v>
      </c>
      <c r="G5" s="12">
        <v>1</v>
      </c>
      <c r="H5">
        <f t="shared" si="1"/>
        <v>7.0765805000000004</v>
      </c>
    </row>
    <row r="6" spans="1:8">
      <c r="A6" s="1" t="s">
        <v>35</v>
      </c>
      <c r="B6" s="1" t="s">
        <v>28</v>
      </c>
      <c r="C6" s="1" t="s">
        <v>10</v>
      </c>
      <c r="D6" s="5">
        <v>0.58174999999999999</v>
      </c>
      <c r="E6">
        <v>9.0800000000000006E-2</v>
      </c>
      <c r="F6" s="5">
        <f t="shared" si="0"/>
        <v>0.49095</v>
      </c>
      <c r="G6" s="12">
        <v>1</v>
      </c>
      <c r="H6">
        <f t="shared" si="1"/>
        <v>4.9437178999999993</v>
      </c>
    </row>
    <row r="7" spans="1:8">
      <c r="A7" s="1" t="s">
        <v>35</v>
      </c>
      <c r="B7" s="1" t="s">
        <v>28</v>
      </c>
      <c r="C7" s="1" t="s">
        <v>11</v>
      </c>
      <c r="D7" s="5">
        <v>0.70604999999999996</v>
      </c>
      <c r="E7">
        <v>9.0800000000000006E-2</v>
      </c>
      <c r="F7" s="5">
        <f t="shared" si="0"/>
        <v>0.61524999999999996</v>
      </c>
      <c r="G7" s="12">
        <v>1</v>
      </c>
      <c r="H7">
        <f t="shared" si="1"/>
        <v>6.2043685000000002</v>
      </c>
    </row>
    <row r="8" spans="1:8">
      <c r="A8" s="1" t="s">
        <v>35</v>
      </c>
      <c r="B8" s="1" t="s">
        <v>28</v>
      </c>
      <c r="C8" s="1" t="s">
        <v>13</v>
      </c>
      <c r="D8" s="5">
        <v>0.77764999999999995</v>
      </c>
      <c r="E8">
        <v>9.0800000000000006E-2</v>
      </c>
      <c r="F8" s="5">
        <f t="shared" si="0"/>
        <v>0.68684999999999996</v>
      </c>
      <c r="G8" s="12">
        <v>1</v>
      </c>
      <c r="H8">
        <f t="shared" si="1"/>
        <v>6.9305357000000001</v>
      </c>
    </row>
    <row r="9" spans="1:8">
      <c r="A9" s="1" t="s">
        <v>35</v>
      </c>
      <c r="B9" s="1" t="s">
        <v>28</v>
      </c>
      <c r="C9" s="1" t="s">
        <v>14</v>
      </c>
      <c r="D9" s="5">
        <v>0.63534999999999997</v>
      </c>
      <c r="E9">
        <v>9.0800000000000006E-2</v>
      </c>
      <c r="F9" s="5">
        <f t="shared" si="0"/>
        <v>0.54454999999999998</v>
      </c>
      <c r="G9" s="12">
        <v>1</v>
      </c>
      <c r="H9">
        <f t="shared" si="1"/>
        <v>5.4873291000000002</v>
      </c>
    </row>
    <row r="10" spans="1:8">
      <c r="A10" s="1" t="s">
        <v>35</v>
      </c>
      <c r="B10" s="1" t="s">
        <v>28</v>
      </c>
      <c r="C10" s="1" t="s">
        <v>15</v>
      </c>
      <c r="D10" s="5">
        <v>0.53544999999999998</v>
      </c>
      <c r="E10">
        <v>9.0800000000000006E-2</v>
      </c>
      <c r="F10" s="5">
        <f t="shared" si="0"/>
        <v>0.44464999999999999</v>
      </c>
      <c r="G10" s="12">
        <v>1</v>
      </c>
      <c r="H10">
        <f t="shared" si="1"/>
        <v>4.4741432999999997</v>
      </c>
    </row>
    <row r="11" spans="1:8">
      <c r="A11" s="1" t="s">
        <v>35</v>
      </c>
      <c r="B11" s="1" t="s">
        <v>28</v>
      </c>
      <c r="C11" s="1" t="s">
        <v>17</v>
      </c>
      <c r="D11" s="5">
        <v>0.48615000000000003</v>
      </c>
      <c r="E11">
        <v>9.0800000000000006E-2</v>
      </c>
      <c r="F11" s="5">
        <f t="shared" si="0"/>
        <v>0.39535000000000003</v>
      </c>
      <c r="G11" s="12">
        <v>1</v>
      </c>
      <c r="H11">
        <f t="shared" si="1"/>
        <v>3.9741426999999998</v>
      </c>
    </row>
    <row r="12" spans="1:8">
      <c r="A12" s="1" t="s">
        <v>35</v>
      </c>
      <c r="B12" s="1" t="s">
        <v>28</v>
      </c>
      <c r="C12" s="1" t="s">
        <v>18</v>
      </c>
      <c r="D12" s="5">
        <v>0.70335000000000003</v>
      </c>
      <c r="E12">
        <v>9.0800000000000006E-2</v>
      </c>
      <c r="F12" s="5">
        <f t="shared" si="0"/>
        <v>0.61255000000000004</v>
      </c>
      <c r="G12" s="12">
        <v>1</v>
      </c>
      <c r="H12">
        <f t="shared" si="1"/>
        <v>6.1769851000000005</v>
      </c>
    </row>
    <row r="13" spans="1:8">
      <c r="A13" s="1" t="s">
        <v>35</v>
      </c>
      <c r="B13" s="1" t="s">
        <v>28</v>
      </c>
      <c r="C13" s="1" t="s">
        <v>19</v>
      </c>
      <c r="D13" s="6">
        <v>0.53100000000000003</v>
      </c>
      <c r="E13">
        <v>9.0800000000000006E-2</v>
      </c>
      <c r="F13" s="5">
        <f t="shared" si="0"/>
        <v>0.44020000000000004</v>
      </c>
      <c r="G13" s="12">
        <v>4</v>
      </c>
      <c r="H13">
        <f t="shared" si="1"/>
        <v>17.716045600000001</v>
      </c>
    </row>
    <row r="14" spans="1:8">
      <c r="A14" s="1" t="s">
        <v>35</v>
      </c>
      <c r="B14" s="1" t="s">
        <v>28</v>
      </c>
      <c r="C14" s="1" t="s">
        <v>21</v>
      </c>
      <c r="D14" s="5">
        <v>0.53225</v>
      </c>
      <c r="E14">
        <v>9.0800000000000006E-2</v>
      </c>
      <c r="F14" s="5">
        <f t="shared" si="0"/>
        <v>0.44145000000000001</v>
      </c>
      <c r="G14" s="12">
        <v>1</v>
      </c>
      <c r="H14">
        <f t="shared" si="1"/>
        <v>4.4416888999999999</v>
      </c>
    </row>
    <row r="15" spans="1:8">
      <c r="A15" s="1" t="s">
        <v>35</v>
      </c>
      <c r="B15" s="1" t="s">
        <v>28</v>
      </c>
      <c r="C15" s="1" t="s">
        <v>22</v>
      </c>
      <c r="D15" s="5">
        <v>1.0905499999999999</v>
      </c>
      <c r="E15">
        <v>9.0800000000000006E-2</v>
      </c>
      <c r="F15" s="5">
        <f t="shared" si="0"/>
        <v>0.99974999999999992</v>
      </c>
      <c r="G15" s="12">
        <v>1</v>
      </c>
      <c r="H15">
        <f t="shared" si="1"/>
        <v>10.1039675</v>
      </c>
    </row>
    <row r="16" spans="1:8">
      <c r="A16" s="1" t="s">
        <v>35</v>
      </c>
      <c r="B16" s="1" t="s">
        <v>28</v>
      </c>
      <c r="C16" s="1" t="s">
        <v>23</v>
      </c>
      <c r="D16" s="5">
        <v>0.82874999999999999</v>
      </c>
      <c r="E16">
        <v>9.0800000000000006E-2</v>
      </c>
      <c r="F16" s="5">
        <f t="shared" si="0"/>
        <v>0.73794999999999999</v>
      </c>
      <c r="G16" s="12">
        <v>1</v>
      </c>
      <c r="H16">
        <f t="shared" si="1"/>
        <v>7.4487918999999998</v>
      </c>
    </row>
    <row r="17" spans="1:8">
      <c r="A17" s="1" t="s">
        <v>35</v>
      </c>
      <c r="B17" s="1" t="s">
        <v>28</v>
      </c>
      <c r="C17" s="1" t="s">
        <v>25</v>
      </c>
      <c r="D17" s="5">
        <v>0.85114999999999996</v>
      </c>
      <c r="E17">
        <v>9.0800000000000006E-2</v>
      </c>
      <c r="F17" s="5">
        <f t="shared" si="0"/>
        <v>0.76034999999999997</v>
      </c>
      <c r="G17" s="12">
        <v>1</v>
      </c>
      <c r="H17">
        <f t="shared" si="1"/>
        <v>7.6759727</v>
      </c>
    </row>
    <row r="18" spans="1:8">
      <c r="A18" s="1" t="s">
        <v>35</v>
      </c>
      <c r="B18" s="1" t="s">
        <v>28</v>
      </c>
      <c r="C18" s="1" t="s">
        <v>26</v>
      </c>
      <c r="D18" s="5">
        <v>0.75244999999999995</v>
      </c>
      <c r="E18">
        <v>9.0800000000000006E-2</v>
      </c>
      <c r="F18" s="5">
        <f t="shared" si="0"/>
        <v>0.66164999999999996</v>
      </c>
      <c r="G18" s="12">
        <v>1</v>
      </c>
      <c r="H18">
        <f t="shared" si="1"/>
        <v>6.6749572999999991</v>
      </c>
    </row>
    <row r="19" spans="1:8">
      <c r="A19" s="1" t="s">
        <v>35</v>
      </c>
      <c r="B19" s="1" t="s">
        <v>28</v>
      </c>
      <c r="C19" s="1" t="s">
        <v>27</v>
      </c>
      <c r="D19" s="5">
        <v>0.86814999999999998</v>
      </c>
      <c r="E19">
        <v>9.0800000000000006E-2</v>
      </c>
      <c r="F19" s="5">
        <f t="shared" si="0"/>
        <v>0.77734999999999999</v>
      </c>
      <c r="G19" s="12">
        <v>1</v>
      </c>
      <c r="H19">
        <f t="shared" si="1"/>
        <v>7.8483867000000007</v>
      </c>
    </row>
    <row r="20" spans="1:8">
      <c r="A20" s="1" t="s">
        <v>35</v>
      </c>
      <c r="B20" s="1" t="s">
        <v>2</v>
      </c>
      <c r="C20" s="1" t="s">
        <v>5</v>
      </c>
      <c r="D20" s="5">
        <v>0.73599999999999999</v>
      </c>
      <c r="E20">
        <v>9.0800000000000006E-2</v>
      </c>
      <c r="F20" s="5">
        <f t="shared" si="0"/>
        <v>0.6452</v>
      </c>
      <c r="G20" s="12">
        <v>1</v>
      </c>
      <c r="H20">
        <f t="shared" si="1"/>
        <v>6.5081214000000003</v>
      </c>
    </row>
    <row r="21" spans="1:8">
      <c r="A21" s="1" t="s">
        <v>35</v>
      </c>
      <c r="B21" s="1" t="s">
        <v>2</v>
      </c>
      <c r="C21" s="1" t="s">
        <v>6</v>
      </c>
      <c r="D21" s="5">
        <v>0.52729999999999999</v>
      </c>
      <c r="E21">
        <v>9.0800000000000006E-2</v>
      </c>
      <c r="F21" s="5">
        <f t="shared" si="0"/>
        <v>0.4365</v>
      </c>
      <c r="G21" s="12">
        <v>1</v>
      </c>
      <c r="H21">
        <f t="shared" si="1"/>
        <v>4.3914859999999996</v>
      </c>
    </row>
    <row r="22" spans="1:8">
      <c r="A22" s="1" t="s">
        <v>35</v>
      </c>
      <c r="B22" s="1" t="s">
        <v>2</v>
      </c>
      <c r="C22" s="1" t="s">
        <v>7</v>
      </c>
      <c r="D22" s="5">
        <v>0.45800000000000002</v>
      </c>
      <c r="E22">
        <v>9.0800000000000006E-2</v>
      </c>
      <c r="F22" s="5">
        <f t="shared" si="0"/>
        <v>0.36720000000000003</v>
      </c>
      <c r="G22" s="12">
        <v>1</v>
      </c>
      <c r="H22">
        <f t="shared" si="1"/>
        <v>3.6886454</v>
      </c>
    </row>
    <row r="23" spans="1:8">
      <c r="A23" s="1" t="s">
        <v>35</v>
      </c>
      <c r="B23" s="1" t="s">
        <v>2</v>
      </c>
      <c r="C23" s="1" t="s">
        <v>9</v>
      </c>
      <c r="D23" s="5">
        <v>0.6069</v>
      </c>
      <c r="E23">
        <v>9.0800000000000006E-2</v>
      </c>
      <c r="F23" s="5">
        <f t="shared" si="0"/>
        <v>0.5161</v>
      </c>
      <c r="G23" s="12">
        <v>1</v>
      </c>
      <c r="H23">
        <f t="shared" si="1"/>
        <v>5.1987892000000002</v>
      </c>
    </row>
    <row r="24" spans="1:8">
      <c r="A24" s="1" t="s">
        <v>35</v>
      </c>
      <c r="B24" s="1" t="s">
        <v>2</v>
      </c>
      <c r="C24" s="1" t="s">
        <v>10</v>
      </c>
      <c r="D24" s="5">
        <v>0.47789999999999999</v>
      </c>
      <c r="E24">
        <v>9.0800000000000006E-2</v>
      </c>
      <c r="F24" s="5">
        <f t="shared" si="0"/>
        <v>0.3871</v>
      </c>
      <c r="G24" s="12">
        <v>1</v>
      </c>
      <c r="H24">
        <f t="shared" si="1"/>
        <v>3.8904711999999995</v>
      </c>
    </row>
    <row r="25" spans="1:8">
      <c r="A25" s="1" t="s">
        <v>35</v>
      </c>
      <c r="B25" s="1" t="s">
        <v>2</v>
      </c>
      <c r="C25" s="1" t="s">
        <v>11</v>
      </c>
      <c r="D25" s="5">
        <v>0.76070000000000004</v>
      </c>
      <c r="E25">
        <v>9.0800000000000006E-2</v>
      </c>
      <c r="F25" s="5">
        <f t="shared" si="0"/>
        <v>0.66990000000000005</v>
      </c>
      <c r="G25" s="12">
        <v>1</v>
      </c>
      <c r="H25">
        <f t="shared" si="1"/>
        <v>6.7586288000000003</v>
      </c>
    </row>
    <row r="26" spans="1:8">
      <c r="A26" s="1" t="s">
        <v>35</v>
      </c>
      <c r="B26" s="1" t="s">
        <v>2</v>
      </c>
      <c r="C26" s="1" t="s">
        <v>13</v>
      </c>
      <c r="D26" s="5">
        <v>0.53600000000000003</v>
      </c>
      <c r="E26">
        <v>9.0800000000000006E-2</v>
      </c>
      <c r="F26" s="5">
        <f t="shared" si="0"/>
        <v>0.44520000000000004</v>
      </c>
      <c r="G26" s="12">
        <v>1</v>
      </c>
      <c r="H26">
        <f t="shared" si="1"/>
        <v>4.4797213999999999</v>
      </c>
    </row>
    <row r="27" spans="1:8">
      <c r="A27" s="1" t="s">
        <v>35</v>
      </c>
      <c r="B27" s="1" t="s">
        <v>2</v>
      </c>
      <c r="C27" s="1" t="s">
        <v>14</v>
      </c>
      <c r="D27" s="5">
        <v>0.55359999999999998</v>
      </c>
      <c r="E27">
        <v>9.0800000000000006E-2</v>
      </c>
      <c r="F27" s="5">
        <f t="shared" si="0"/>
        <v>0.46279999999999999</v>
      </c>
      <c r="G27" s="12">
        <v>1</v>
      </c>
      <c r="H27">
        <f t="shared" si="1"/>
        <v>4.6582205999999999</v>
      </c>
    </row>
    <row r="28" spans="1:8">
      <c r="A28" s="1" t="s">
        <v>35</v>
      </c>
      <c r="B28" s="1" t="s">
        <v>2</v>
      </c>
      <c r="C28" s="1" t="s">
        <v>15</v>
      </c>
      <c r="D28" s="5">
        <v>0.89549999999999996</v>
      </c>
      <c r="E28">
        <v>9.0800000000000006E-2</v>
      </c>
      <c r="F28" s="5">
        <f t="shared" si="0"/>
        <v>0.80469999999999997</v>
      </c>
      <c r="G28" s="12">
        <v>1</v>
      </c>
      <c r="H28">
        <f t="shared" si="1"/>
        <v>8.1257703999999986</v>
      </c>
    </row>
    <row r="29" spans="1:8">
      <c r="A29" s="1" t="s">
        <v>35</v>
      </c>
      <c r="B29" s="1" t="s">
        <v>2</v>
      </c>
      <c r="C29" s="1" t="s">
        <v>17</v>
      </c>
      <c r="D29" s="5">
        <v>0.60640000000000005</v>
      </c>
      <c r="E29">
        <v>9.0800000000000006E-2</v>
      </c>
      <c r="F29" s="5">
        <f t="shared" si="0"/>
        <v>0.51560000000000006</v>
      </c>
      <c r="G29" s="12">
        <v>1</v>
      </c>
      <c r="H29">
        <f t="shared" si="1"/>
        <v>5.1937182000000011</v>
      </c>
    </row>
    <row r="30" spans="1:8">
      <c r="A30" s="1" t="s">
        <v>35</v>
      </c>
      <c r="B30" s="1" t="s">
        <v>2</v>
      </c>
      <c r="C30" s="1" t="s">
        <v>18</v>
      </c>
      <c r="D30" s="5">
        <v>0.64170000000000005</v>
      </c>
      <c r="E30">
        <v>9.0800000000000006E-2</v>
      </c>
      <c r="F30" s="5">
        <f t="shared" si="0"/>
        <v>0.55090000000000006</v>
      </c>
      <c r="G30" s="12">
        <v>1</v>
      </c>
      <c r="H30">
        <f t="shared" si="1"/>
        <v>5.5517308000000005</v>
      </c>
    </row>
    <row r="31" spans="1:8">
      <c r="A31" s="1" t="s">
        <v>35</v>
      </c>
      <c r="B31" s="1" t="s">
        <v>2</v>
      </c>
      <c r="C31" s="1" t="s">
        <v>19</v>
      </c>
      <c r="D31" s="5">
        <v>0.70499999999999996</v>
      </c>
      <c r="E31">
        <v>9.0800000000000006E-2</v>
      </c>
      <c r="F31" s="5">
        <f t="shared" si="0"/>
        <v>0.61419999999999997</v>
      </c>
      <c r="G31" s="12">
        <v>1</v>
      </c>
      <c r="H31">
        <f t="shared" si="1"/>
        <v>6.1937194</v>
      </c>
    </row>
    <row r="32" spans="1:8">
      <c r="A32" s="1" t="s">
        <v>35</v>
      </c>
      <c r="B32" s="1" t="s">
        <v>2</v>
      </c>
      <c r="C32" s="1" t="s">
        <v>21</v>
      </c>
      <c r="D32" s="5">
        <v>0.48010000000000003</v>
      </c>
      <c r="E32">
        <v>9.0800000000000006E-2</v>
      </c>
      <c r="F32" s="5">
        <f t="shared" si="0"/>
        <v>0.38930000000000003</v>
      </c>
      <c r="G32" s="12">
        <v>1</v>
      </c>
      <c r="H32">
        <f t="shared" si="1"/>
        <v>3.9127836000000005</v>
      </c>
    </row>
    <row r="33" spans="1:8">
      <c r="A33" s="1" t="s">
        <v>35</v>
      </c>
      <c r="B33" s="1" t="s">
        <v>2</v>
      </c>
      <c r="C33" s="1" t="s">
        <v>22</v>
      </c>
      <c r="D33" s="5">
        <v>0.46579999999999999</v>
      </c>
      <c r="E33">
        <v>9.0800000000000006E-2</v>
      </c>
      <c r="F33" s="5">
        <f t="shared" si="0"/>
        <v>0.375</v>
      </c>
      <c r="G33" s="12">
        <v>1</v>
      </c>
      <c r="H33">
        <f t="shared" si="1"/>
        <v>3.7677529999999995</v>
      </c>
    </row>
    <row r="34" spans="1:8">
      <c r="A34" s="1" t="s">
        <v>35</v>
      </c>
      <c r="B34" s="1" t="s">
        <v>2</v>
      </c>
      <c r="C34" s="1" t="s">
        <v>23</v>
      </c>
      <c r="D34" s="5">
        <v>0.52890000000000004</v>
      </c>
      <c r="E34">
        <v>9.0800000000000006E-2</v>
      </c>
      <c r="F34" s="5">
        <f t="shared" si="0"/>
        <v>0.43810000000000004</v>
      </c>
      <c r="G34" s="12">
        <v>1</v>
      </c>
      <c r="H34">
        <f t="shared" si="1"/>
        <v>4.4077131999999999</v>
      </c>
    </row>
    <row r="35" spans="1:8">
      <c r="A35" s="1" t="s">
        <v>35</v>
      </c>
      <c r="B35" s="1" t="s">
        <v>2</v>
      </c>
      <c r="C35" s="1" t="s">
        <v>25</v>
      </c>
      <c r="D35" s="5">
        <v>0.73780000000000001</v>
      </c>
      <c r="E35">
        <v>9.0800000000000006E-2</v>
      </c>
      <c r="F35" s="5">
        <f t="shared" si="0"/>
        <v>0.64700000000000002</v>
      </c>
      <c r="G35" s="12">
        <v>1</v>
      </c>
      <c r="H35">
        <f t="shared" si="1"/>
        <v>6.526377000000001</v>
      </c>
    </row>
    <row r="36" spans="1:8">
      <c r="A36" s="1" t="s">
        <v>35</v>
      </c>
      <c r="B36" s="1" t="s">
        <v>2</v>
      </c>
      <c r="C36" s="1" t="s">
        <v>26</v>
      </c>
      <c r="D36" s="5">
        <v>0.82589999999999997</v>
      </c>
      <c r="E36">
        <v>9.0800000000000006E-2</v>
      </c>
      <c r="F36" s="5">
        <f t="shared" si="0"/>
        <v>0.73509999999999998</v>
      </c>
      <c r="G36" s="12">
        <v>1</v>
      </c>
      <c r="H36">
        <f t="shared" si="1"/>
        <v>7.4198871999999998</v>
      </c>
    </row>
    <row r="37" spans="1:8">
      <c r="A37" s="1" t="s">
        <v>35</v>
      </c>
      <c r="B37" s="1" t="s">
        <v>2</v>
      </c>
      <c r="C37" s="1" t="s">
        <v>27</v>
      </c>
      <c r="D37" s="6">
        <v>0.34699999999999998</v>
      </c>
      <c r="E37">
        <v>9.0800000000000006E-2</v>
      </c>
      <c r="F37" s="5">
        <f t="shared" si="0"/>
        <v>0.25619999999999998</v>
      </c>
      <c r="G37" s="12">
        <v>4</v>
      </c>
      <c r="H37">
        <f t="shared" si="1"/>
        <v>10.2515336</v>
      </c>
    </row>
    <row r="38" spans="1:8">
      <c r="A38" s="1" t="s">
        <v>35</v>
      </c>
      <c r="B38" s="1" t="s">
        <v>29</v>
      </c>
      <c r="C38" s="1" t="s">
        <v>5</v>
      </c>
      <c r="D38" s="5">
        <v>0.64678333333333304</v>
      </c>
      <c r="E38">
        <v>9.0800000000000006E-2</v>
      </c>
      <c r="F38" s="5">
        <f t="shared" si="0"/>
        <v>0.55598333333333305</v>
      </c>
      <c r="G38" s="12">
        <v>1</v>
      </c>
      <c r="H38">
        <f t="shared" si="1"/>
        <v>5.6032859666666646</v>
      </c>
    </row>
    <row r="39" spans="1:8">
      <c r="A39" s="1" t="s">
        <v>35</v>
      </c>
      <c r="B39" s="1" t="s">
        <v>29</v>
      </c>
      <c r="C39" s="1" t="s">
        <v>6</v>
      </c>
      <c r="D39" s="5">
        <v>0.84508333333333296</v>
      </c>
      <c r="E39">
        <v>9.0800000000000006E-2</v>
      </c>
      <c r="F39" s="5">
        <f t="shared" si="0"/>
        <v>0.75428333333333297</v>
      </c>
      <c r="G39" s="12">
        <v>1</v>
      </c>
      <c r="H39">
        <f t="shared" si="1"/>
        <v>7.6144445666666636</v>
      </c>
    </row>
    <row r="40" spans="1:8">
      <c r="A40" s="1" t="s">
        <v>35</v>
      </c>
      <c r="B40" s="1" t="s">
        <v>29</v>
      </c>
      <c r="C40" s="1" t="s">
        <v>7</v>
      </c>
      <c r="D40" s="5">
        <v>0.575583333333333</v>
      </c>
      <c r="E40">
        <v>9.0800000000000006E-2</v>
      </c>
      <c r="F40" s="5">
        <f t="shared" si="0"/>
        <v>0.48478333333333301</v>
      </c>
      <c r="G40" s="12">
        <v>1</v>
      </c>
      <c r="H40">
        <f t="shared" si="1"/>
        <v>4.8811755666666627</v>
      </c>
    </row>
    <row r="41" spans="1:8">
      <c r="A41" s="1" t="s">
        <v>35</v>
      </c>
      <c r="B41" s="1" t="s">
        <v>29</v>
      </c>
      <c r="C41" s="1" t="s">
        <v>9</v>
      </c>
      <c r="D41" s="5">
        <v>0.98068333333333302</v>
      </c>
      <c r="E41">
        <v>9.0800000000000006E-2</v>
      </c>
      <c r="F41" s="5">
        <f t="shared" si="0"/>
        <v>0.88988333333333303</v>
      </c>
      <c r="G41" s="12">
        <v>1</v>
      </c>
      <c r="H41">
        <f t="shared" si="1"/>
        <v>8.9896997666666643</v>
      </c>
    </row>
    <row r="42" spans="1:8">
      <c r="A42" s="1" t="s">
        <v>35</v>
      </c>
      <c r="B42" s="1" t="s">
        <v>29</v>
      </c>
      <c r="C42" s="1" t="s">
        <v>10</v>
      </c>
      <c r="D42" s="5">
        <v>0.73628333333333296</v>
      </c>
      <c r="E42">
        <v>9.0800000000000006E-2</v>
      </c>
      <c r="F42" s="5">
        <f t="shared" si="0"/>
        <v>0.64548333333333296</v>
      </c>
      <c r="G42" s="12">
        <v>1</v>
      </c>
      <c r="H42">
        <f t="shared" si="1"/>
        <v>6.5109949666666633</v>
      </c>
    </row>
    <row r="43" spans="1:8">
      <c r="A43" s="1" t="s">
        <v>35</v>
      </c>
      <c r="B43" s="1" t="s">
        <v>29</v>
      </c>
      <c r="C43" s="1" t="s">
        <v>11</v>
      </c>
      <c r="D43" s="5">
        <v>0.68258333333333299</v>
      </c>
      <c r="E43">
        <v>9.0800000000000006E-2</v>
      </c>
      <c r="F43" s="5">
        <f t="shared" si="0"/>
        <v>0.59178333333333299</v>
      </c>
      <c r="G43" s="12">
        <v>1</v>
      </c>
      <c r="H43">
        <f t="shared" si="1"/>
        <v>5.9663695666666632</v>
      </c>
    </row>
    <row r="44" spans="1:8">
      <c r="A44" s="1" t="s">
        <v>35</v>
      </c>
      <c r="B44" s="1" t="s">
        <v>29</v>
      </c>
      <c r="C44" s="1" t="s">
        <v>13</v>
      </c>
      <c r="D44" s="5">
        <v>0.96048333333333302</v>
      </c>
      <c r="E44">
        <v>9.0800000000000006E-2</v>
      </c>
      <c r="F44" s="5">
        <f t="shared" si="0"/>
        <v>0.86968333333333303</v>
      </c>
      <c r="G44" s="12">
        <v>1</v>
      </c>
      <c r="H44">
        <f t="shared" si="1"/>
        <v>8.7848313666666638</v>
      </c>
    </row>
    <row r="45" spans="1:8">
      <c r="A45" s="1" t="s">
        <v>35</v>
      </c>
      <c r="B45" s="1" t="s">
        <v>29</v>
      </c>
      <c r="C45" s="1" t="s">
        <v>14</v>
      </c>
      <c r="D45" s="6">
        <v>0.45900000000000002</v>
      </c>
      <c r="E45">
        <v>9.0800000000000006E-2</v>
      </c>
      <c r="F45" s="5">
        <f t="shared" si="0"/>
        <v>0.36820000000000003</v>
      </c>
      <c r="G45" s="12">
        <v>4</v>
      </c>
      <c r="H45">
        <f t="shared" si="1"/>
        <v>14.7951496</v>
      </c>
    </row>
    <row r="46" spans="1:8">
      <c r="A46" s="1" t="s">
        <v>35</v>
      </c>
      <c r="B46" s="1" t="s">
        <v>29</v>
      </c>
      <c r="C46" s="1" t="s">
        <v>15</v>
      </c>
      <c r="D46" s="5">
        <v>0.41458333333333303</v>
      </c>
      <c r="E46">
        <v>9.0800000000000006E-2</v>
      </c>
      <c r="F46" s="5">
        <f t="shared" si="0"/>
        <v>0.32378333333333303</v>
      </c>
      <c r="G46" s="12">
        <v>1</v>
      </c>
      <c r="H46">
        <f t="shared" si="1"/>
        <v>3.2483135666666634</v>
      </c>
    </row>
    <row r="47" spans="1:8">
      <c r="A47" s="1" t="s">
        <v>35</v>
      </c>
      <c r="B47" s="1" t="s">
        <v>29</v>
      </c>
      <c r="C47" s="1" t="s">
        <v>17</v>
      </c>
      <c r="D47" s="6">
        <v>0.51500000000000001</v>
      </c>
      <c r="E47">
        <v>9.0800000000000006E-2</v>
      </c>
      <c r="F47" s="5">
        <f t="shared" si="0"/>
        <v>0.42420000000000002</v>
      </c>
      <c r="G47" s="12">
        <v>4</v>
      </c>
      <c r="H47">
        <f t="shared" si="1"/>
        <v>17.066957599999999</v>
      </c>
    </row>
    <row r="48" spans="1:8">
      <c r="A48" s="1" t="s">
        <v>35</v>
      </c>
      <c r="B48" s="1" t="s">
        <v>29</v>
      </c>
      <c r="C48" s="1" t="s">
        <v>18</v>
      </c>
      <c r="D48" s="5">
        <v>0.60208333333333297</v>
      </c>
      <c r="E48">
        <v>9.0800000000000006E-2</v>
      </c>
      <c r="F48" s="5">
        <f t="shared" si="0"/>
        <v>0.51128333333333298</v>
      </c>
      <c r="G48" s="12">
        <v>1</v>
      </c>
      <c r="H48">
        <f t="shared" si="1"/>
        <v>5.1499385666666626</v>
      </c>
    </row>
    <row r="49" spans="1:8">
      <c r="A49" s="1" t="s">
        <v>35</v>
      </c>
      <c r="B49" s="1" t="s">
        <v>29</v>
      </c>
      <c r="C49" s="1" t="s">
        <v>19</v>
      </c>
      <c r="D49" s="5">
        <v>0.46008333333333301</v>
      </c>
      <c r="E49">
        <v>9.0800000000000006E-2</v>
      </c>
      <c r="F49" s="5">
        <f t="shared" si="0"/>
        <v>0.36928333333333302</v>
      </c>
      <c r="G49" s="12">
        <v>1</v>
      </c>
      <c r="H49">
        <f t="shared" si="1"/>
        <v>3.7097745666666628</v>
      </c>
    </row>
    <row r="50" spans="1:8">
      <c r="A50" s="1" t="s">
        <v>35</v>
      </c>
      <c r="B50" s="1" t="s">
        <v>29</v>
      </c>
      <c r="C50" s="1" t="s">
        <v>21</v>
      </c>
      <c r="D50" s="6">
        <v>0.42199999999999999</v>
      </c>
      <c r="E50">
        <v>9.0800000000000006E-2</v>
      </c>
      <c r="F50" s="5">
        <f t="shared" si="0"/>
        <v>0.33119999999999999</v>
      </c>
      <c r="G50" s="12">
        <v>4</v>
      </c>
      <c r="H50">
        <f t="shared" si="1"/>
        <v>13.294133599999999</v>
      </c>
    </row>
    <row r="51" spans="1:8">
      <c r="A51" s="1" t="s">
        <v>35</v>
      </c>
      <c r="B51" s="1" t="s">
        <v>29</v>
      </c>
      <c r="C51" s="1" t="s">
        <v>22</v>
      </c>
      <c r="D51" s="6">
        <v>0.48699999999999999</v>
      </c>
      <c r="E51">
        <v>9.0800000000000006E-2</v>
      </c>
      <c r="F51" s="5">
        <f t="shared" si="0"/>
        <v>0.3962</v>
      </c>
      <c r="G51" s="12">
        <v>4</v>
      </c>
      <c r="H51">
        <f t="shared" si="1"/>
        <v>15.9310536</v>
      </c>
    </row>
    <row r="52" spans="1:8">
      <c r="A52" s="1" t="s">
        <v>35</v>
      </c>
      <c r="B52" s="1" t="s">
        <v>29</v>
      </c>
      <c r="C52" s="1" t="s">
        <v>23</v>
      </c>
      <c r="D52" s="5">
        <v>0.44158333333333299</v>
      </c>
      <c r="E52">
        <v>9.0800000000000006E-2</v>
      </c>
      <c r="F52" s="5">
        <f t="shared" si="0"/>
        <v>0.350783333333333</v>
      </c>
      <c r="G52" s="12">
        <v>1</v>
      </c>
      <c r="H52">
        <f t="shared" si="1"/>
        <v>3.5221475666666633</v>
      </c>
    </row>
    <row r="53" spans="1:8">
      <c r="A53" s="1" t="s">
        <v>35</v>
      </c>
      <c r="B53" s="1" t="s">
        <v>29</v>
      </c>
      <c r="C53" s="1" t="s">
        <v>25</v>
      </c>
      <c r="D53" s="6">
        <v>0.45300000000000001</v>
      </c>
      <c r="E53">
        <v>9.0800000000000006E-2</v>
      </c>
      <c r="F53" s="5">
        <f t="shared" si="0"/>
        <v>0.36220000000000002</v>
      </c>
      <c r="G53" s="12">
        <v>4</v>
      </c>
      <c r="H53">
        <f t="shared" si="1"/>
        <v>14.5517416</v>
      </c>
    </row>
    <row r="54" spans="1:8">
      <c r="A54" s="1" t="s">
        <v>35</v>
      </c>
      <c r="B54" s="1" t="s">
        <v>29</v>
      </c>
      <c r="C54" s="1" t="s">
        <v>26</v>
      </c>
      <c r="D54" s="5">
        <v>0.73898333333333299</v>
      </c>
      <c r="E54">
        <v>9.0800000000000006E-2</v>
      </c>
      <c r="F54" s="5">
        <f t="shared" si="0"/>
        <v>0.648183333333333</v>
      </c>
      <c r="G54" s="12">
        <v>1</v>
      </c>
      <c r="H54">
        <f t="shared" si="1"/>
        <v>6.5383783666666639</v>
      </c>
    </row>
    <row r="55" spans="1:8">
      <c r="A55" s="1" t="s">
        <v>35</v>
      </c>
      <c r="B55" s="1" t="s">
        <v>29</v>
      </c>
      <c r="C55" s="1" t="s">
        <v>27</v>
      </c>
      <c r="D55" s="6">
        <v>0.42699999999999999</v>
      </c>
      <c r="E55">
        <v>9.0800000000000006E-2</v>
      </c>
      <c r="F55" s="5">
        <f t="shared" si="0"/>
        <v>0.3362</v>
      </c>
      <c r="G55" s="12">
        <v>4</v>
      </c>
      <c r="H55">
        <f t="shared" si="1"/>
        <v>13.496973599999999</v>
      </c>
    </row>
    <row r="56" spans="1:8">
      <c r="A56" s="1" t="s">
        <v>35</v>
      </c>
      <c r="B56" s="1" t="s">
        <v>30</v>
      </c>
      <c r="C56" s="1" t="s">
        <v>5</v>
      </c>
      <c r="D56" s="5">
        <v>0.62026666666666697</v>
      </c>
      <c r="E56">
        <v>9.0800000000000006E-2</v>
      </c>
      <c r="F56" s="5">
        <f t="shared" si="0"/>
        <v>0.52946666666666697</v>
      </c>
      <c r="G56" s="12">
        <v>1</v>
      </c>
      <c r="H56">
        <f t="shared" si="1"/>
        <v>5.3343539333333361</v>
      </c>
    </row>
    <row r="57" spans="1:8">
      <c r="A57" s="1" t="s">
        <v>35</v>
      </c>
      <c r="B57" s="1" t="s">
        <v>30</v>
      </c>
      <c r="C57" s="1" t="s">
        <v>6</v>
      </c>
      <c r="D57" s="5">
        <v>0.41106666666666702</v>
      </c>
      <c r="E57">
        <v>9.0800000000000006E-2</v>
      </c>
      <c r="F57" s="5">
        <f t="shared" si="0"/>
        <v>0.32026666666666703</v>
      </c>
      <c r="G57" s="12">
        <v>1</v>
      </c>
      <c r="H57">
        <f t="shared" si="1"/>
        <v>3.2126475333333371</v>
      </c>
    </row>
    <row r="58" spans="1:8">
      <c r="A58" s="1" t="s">
        <v>35</v>
      </c>
      <c r="B58" s="1" t="s">
        <v>30</v>
      </c>
      <c r="C58" s="1" t="s">
        <v>7</v>
      </c>
      <c r="D58" s="5">
        <v>0.50866666666666704</v>
      </c>
      <c r="E58">
        <v>9.0800000000000006E-2</v>
      </c>
      <c r="F58" s="5">
        <f t="shared" si="0"/>
        <v>0.41786666666666705</v>
      </c>
      <c r="G58" s="12">
        <v>1</v>
      </c>
      <c r="H58">
        <f t="shared" si="1"/>
        <v>4.2025067333333368</v>
      </c>
    </row>
    <row r="59" spans="1:8">
      <c r="A59" s="1" t="s">
        <v>35</v>
      </c>
      <c r="B59" s="1" t="s">
        <v>30</v>
      </c>
      <c r="C59" s="1" t="s">
        <v>9</v>
      </c>
      <c r="D59" s="5">
        <v>0.52846666666666697</v>
      </c>
      <c r="E59">
        <v>9.0800000000000006E-2</v>
      </c>
      <c r="F59" s="5">
        <f t="shared" si="0"/>
        <v>0.43766666666666698</v>
      </c>
      <c r="G59" s="12">
        <v>1</v>
      </c>
      <c r="H59">
        <f t="shared" si="1"/>
        <v>4.4033183333333366</v>
      </c>
    </row>
    <row r="60" spans="1:8">
      <c r="A60" s="1" t="s">
        <v>35</v>
      </c>
      <c r="B60" s="1" t="s">
        <v>30</v>
      </c>
      <c r="C60" s="1" t="s">
        <v>10</v>
      </c>
      <c r="D60" s="5">
        <v>0.64166666666666705</v>
      </c>
      <c r="E60">
        <v>9.0800000000000006E-2</v>
      </c>
      <c r="F60" s="5">
        <f t="shared" si="0"/>
        <v>0.55086666666666706</v>
      </c>
      <c r="G60" s="12">
        <v>1</v>
      </c>
      <c r="H60">
        <f t="shared" si="1"/>
        <v>5.5513927333333379</v>
      </c>
    </row>
    <row r="61" spans="1:8">
      <c r="A61" s="1" t="s">
        <v>35</v>
      </c>
      <c r="B61" s="1" t="s">
        <v>30</v>
      </c>
      <c r="C61" s="1" t="s">
        <v>11</v>
      </c>
      <c r="D61" s="5">
        <v>0.88396666666666701</v>
      </c>
      <c r="E61">
        <v>9.0800000000000006E-2</v>
      </c>
      <c r="F61" s="5">
        <f t="shared" si="0"/>
        <v>0.79316666666666702</v>
      </c>
      <c r="G61" s="12">
        <v>1</v>
      </c>
      <c r="H61">
        <f t="shared" si="1"/>
        <v>8.0087993333333376</v>
      </c>
    </row>
    <row r="62" spans="1:8">
      <c r="A62" s="1" t="s">
        <v>35</v>
      </c>
      <c r="B62" s="1" t="s">
        <v>30</v>
      </c>
      <c r="C62" s="1" t="s">
        <v>13</v>
      </c>
      <c r="D62" s="5">
        <v>0.73976666666666702</v>
      </c>
      <c r="E62">
        <v>9.0800000000000006E-2</v>
      </c>
      <c r="F62" s="5">
        <f t="shared" si="0"/>
        <v>0.64896666666666702</v>
      </c>
      <c r="G62" s="12">
        <v>1</v>
      </c>
      <c r="H62">
        <f t="shared" si="1"/>
        <v>6.5463229333333368</v>
      </c>
    </row>
    <row r="63" spans="1:8">
      <c r="A63" s="1" t="s">
        <v>35</v>
      </c>
      <c r="B63" s="1" t="s">
        <v>30</v>
      </c>
      <c r="C63" s="1" t="s">
        <v>14</v>
      </c>
      <c r="D63" s="5">
        <v>0.38886666666666703</v>
      </c>
      <c r="E63">
        <v>9.0800000000000006E-2</v>
      </c>
      <c r="F63" s="5">
        <f t="shared" si="0"/>
        <v>0.29806666666666704</v>
      </c>
      <c r="G63" s="12">
        <v>1</v>
      </c>
      <c r="H63">
        <f t="shared" si="1"/>
        <v>2.9874951333333368</v>
      </c>
    </row>
    <row r="64" spans="1:8">
      <c r="A64" s="1" t="s">
        <v>35</v>
      </c>
      <c r="B64" s="1" t="s">
        <v>30</v>
      </c>
      <c r="C64" s="1" t="s">
        <v>15</v>
      </c>
      <c r="D64" s="5">
        <v>0.72706666666666697</v>
      </c>
      <c r="E64">
        <v>9.0800000000000006E-2</v>
      </c>
      <c r="F64" s="5">
        <f t="shared" si="0"/>
        <v>0.63626666666666698</v>
      </c>
      <c r="G64" s="12">
        <v>1</v>
      </c>
      <c r="H64">
        <f t="shared" si="1"/>
        <v>6.4175195333333361</v>
      </c>
    </row>
    <row r="65" spans="1:8">
      <c r="A65" s="1" t="s">
        <v>35</v>
      </c>
      <c r="B65" s="1" t="s">
        <v>30</v>
      </c>
      <c r="C65" s="1" t="s">
        <v>17</v>
      </c>
      <c r="D65" s="5">
        <v>0.37626666666666703</v>
      </c>
      <c r="E65">
        <v>9.0800000000000006E-2</v>
      </c>
      <c r="F65" s="5">
        <f t="shared" si="0"/>
        <v>0.28546666666666703</v>
      </c>
      <c r="G65" s="12">
        <v>1</v>
      </c>
      <c r="H65">
        <f t="shared" si="1"/>
        <v>2.8597059333333368</v>
      </c>
    </row>
    <row r="66" spans="1:8">
      <c r="A66" s="1" t="s">
        <v>35</v>
      </c>
      <c r="B66" s="1" t="s">
        <v>30</v>
      </c>
      <c r="C66" s="1" t="s">
        <v>18</v>
      </c>
      <c r="D66" s="5">
        <v>0.48346666666666699</v>
      </c>
      <c r="E66">
        <v>9.0800000000000006E-2</v>
      </c>
      <c r="F66" s="5">
        <f t="shared" si="0"/>
        <v>0.392666666666667</v>
      </c>
      <c r="G66" s="12">
        <v>1</v>
      </c>
      <c r="H66">
        <f t="shared" si="1"/>
        <v>3.9469283333333363</v>
      </c>
    </row>
    <row r="67" spans="1:8">
      <c r="A67" s="1" t="s">
        <v>35</v>
      </c>
      <c r="B67" s="1" t="s">
        <v>30</v>
      </c>
      <c r="C67" s="1" t="s">
        <v>19</v>
      </c>
      <c r="D67" s="5">
        <v>0.56496666666666695</v>
      </c>
      <c r="E67">
        <v>9.0800000000000006E-2</v>
      </c>
      <c r="F67" s="5">
        <f t="shared" ref="F67:F130" si="2">D67-E67</f>
        <v>0.47416666666666696</v>
      </c>
      <c r="G67" s="12">
        <v>1</v>
      </c>
      <c r="H67">
        <f t="shared" ref="H67:H130" si="3">0.5071*(F67-0.0035)/0.05*G67</f>
        <v>4.7735013333333365</v>
      </c>
    </row>
    <row r="68" spans="1:8">
      <c r="A68" s="1" t="s">
        <v>35</v>
      </c>
      <c r="B68" s="1" t="s">
        <v>30</v>
      </c>
      <c r="C68" s="1" t="s">
        <v>21</v>
      </c>
      <c r="D68" s="5">
        <v>0.85906666666666698</v>
      </c>
      <c r="E68">
        <v>9.0800000000000006E-2</v>
      </c>
      <c r="F68" s="5">
        <f t="shared" si="2"/>
        <v>0.76826666666666699</v>
      </c>
      <c r="G68" s="12">
        <v>1</v>
      </c>
      <c r="H68">
        <f t="shared" si="3"/>
        <v>7.7562635333333372</v>
      </c>
    </row>
    <row r="69" spans="1:8">
      <c r="A69" s="1" t="s">
        <v>35</v>
      </c>
      <c r="B69" s="1" t="s">
        <v>30</v>
      </c>
      <c r="C69" s="1" t="s">
        <v>22</v>
      </c>
      <c r="D69" s="6">
        <v>0.33</v>
      </c>
      <c r="E69">
        <v>9.0800000000000006E-2</v>
      </c>
      <c r="F69" s="5">
        <f t="shared" si="2"/>
        <v>0.23920000000000002</v>
      </c>
      <c r="G69" s="12">
        <v>4</v>
      </c>
      <c r="H69">
        <f t="shared" si="3"/>
        <v>9.5618776000000008</v>
      </c>
    </row>
    <row r="70" spans="1:8">
      <c r="A70" s="1" t="s">
        <v>35</v>
      </c>
      <c r="B70" s="1" t="s">
        <v>30</v>
      </c>
      <c r="C70" s="1" t="s">
        <v>23</v>
      </c>
      <c r="D70" s="5">
        <v>0.94516666666666704</v>
      </c>
      <c r="E70">
        <v>9.0800000000000006E-2</v>
      </c>
      <c r="F70" s="5">
        <f t="shared" si="2"/>
        <v>0.85436666666666705</v>
      </c>
      <c r="G70" s="12">
        <v>1</v>
      </c>
      <c r="H70">
        <f t="shared" si="3"/>
        <v>8.6294897333333367</v>
      </c>
    </row>
    <row r="71" spans="1:8">
      <c r="A71" s="1" t="s">
        <v>35</v>
      </c>
      <c r="B71" s="1" t="s">
        <v>30</v>
      </c>
      <c r="C71" s="1" t="s">
        <v>25</v>
      </c>
      <c r="D71" s="5">
        <v>0.994966666666667</v>
      </c>
      <c r="E71">
        <v>9.0800000000000006E-2</v>
      </c>
      <c r="F71" s="5">
        <f t="shared" si="2"/>
        <v>0.90416666666666701</v>
      </c>
      <c r="G71" s="12">
        <v>1</v>
      </c>
      <c r="H71">
        <f t="shared" si="3"/>
        <v>9.1345613333333375</v>
      </c>
    </row>
    <row r="72" spans="1:8">
      <c r="A72" s="1" t="s">
        <v>35</v>
      </c>
      <c r="B72" s="1" t="s">
        <v>30</v>
      </c>
      <c r="C72" s="1" t="s">
        <v>26</v>
      </c>
      <c r="D72" s="5">
        <v>0.64436666666666698</v>
      </c>
      <c r="E72">
        <v>9.0800000000000006E-2</v>
      </c>
      <c r="F72" s="5">
        <f t="shared" si="2"/>
        <v>0.55356666666666698</v>
      </c>
      <c r="G72" s="12">
        <v>1</v>
      </c>
      <c r="H72">
        <f t="shared" si="3"/>
        <v>5.5787761333333368</v>
      </c>
    </row>
    <row r="73" spans="1:8">
      <c r="A73" s="1" t="s">
        <v>35</v>
      </c>
      <c r="B73" s="1" t="s">
        <v>30</v>
      </c>
      <c r="C73" s="1" t="s">
        <v>27</v>
      </c>
      <c r="D73" s="5">
        <v>0.40496666666666697</v>
      </c>
      <c r="E73">
        <v>9.0800000000000006E-2</v>
      </c>
      <c r="F73" s="5">
        <f t="shared" si="2"/>
        <v>0.31416666666666698</v>
      </c>
      <c r="G73" s="12">
        <v>1</v>
      </c>
      <c r="H73">
        <f t="shared" si="3"/>
        <v>3.1507813333333359</v>
      </c>
    </row>
    <row r="74" spans="1:8">
      <c r="A74" s="1" t="s">
        <v>35</v>
      </c>
      <c r="B74" s="1" t="s">
        <v>31</v>
      </c>
      <c r="C74" s="1" t="s">
        <v>5</v>
      </c>
      <c r="D74" s="5">
        <v>0.69323333333333303</v>
      </c>
      <c r="E74">
        <v>9.0800000000000006E-2</v>
      </c>
      <c r="F74" s="5">
        <f t="shared" si="2"/>
        <v>0.60243333333333304</v>
      </c>
      <c r="G74" s="12">
        <v>1</v>
      </c>
      <c r="H74">
        <f t="shared" si="3"/>
        <v>6.0743818666666636</v>
      </c>
    </row>
    <row r="75" spans="1:8">
      <c r="A75" s="1" t="s">
        <v>35</v>
      </c>
      <c r="B75" s="1" t="s">
        <v>31</v>
      </c>
      <c r="C75" s="1" t="s">
        <v>6</v>
      </c>
      <c r="D75" s="5">
        <v>0.46783333333333299</v>
      </c>
      <c r="E75">
        <v>9.0800000000000006E-2</v>
      </c>
      <c r="F75" s="5">
        <f t="shared" si="2"/>
        <v>0.377033333333333</v>
      </c>
      <c r="G75" s="12">
        <v>1</v>
      </c>
      <c r="H75">
        <f t="shared" si="3"/>
        <v>3.7883750666666631</v>
      </c>
    </row>
    <row r="76" spans="1:8">
      <c r="A76" s="1" t="s">
        <v>35</v>
      </c>
      <c r="B76" s="1" t="s">
        <v>31</v>
      </c>
      <c r="C76" s="1" t="s">
        <v>7</v>
      </c>
      <c r="D76" s="5">
        <v>0.62593333333333301</v>
      </c>
      <c r="E76">
        <v>9.0800000000000006E-2</v>
      </c>
      <c r="F76" s="5">
        <f t="shared" si="2"/>
        <v>0.53513333333333302</v>
      </c>
      <c r="G76" s="12">
        <v>1</v>
      </c>
      <c r="H76">
        <f t="shared" si="3"/>
        <v>5.3918252666666637</v>
      </c>
    </row>
    <row r="77" spans="1:8">
      <c r="A77" s="1" t="s">
        <v>35</v>
      </c>
      <c r="B77" s="1" t="s">
        <v>31</v>
      </c>
      <c r="C77" s="1" t="s">
        <v>9</v>
      </c>
      <c r="D77" s="5">
        <v>0.48573333333333302</v>
      </c>
      <c r="E77">
        <v>9.0800000000000006E-2</v>
      </c>
      <c r="F77" s="5">
        <f t="shared" si="2"/>
        <v>0.39493333333333303</v>
      </c>
      <c r="G77" s="12">
        <v>1</v>
      </c>
      <c r="H77">
        <f t="shared" si="3"/>
        <v>3.9699168666666633</v>
      </c>
    </row>
    <row r="78" spans="1:8">
      <c r="A78" s="1" t="s">
        <v>35</v>
      </c>
      <c r="B78" s="1" t="s">
        <v>31</v>
      </c>
      <c r="C78" s="1" t="s">
        <v>10</v>
      </c>
      <c r="D78" s="5">
        <v>0.588733333333333</v>
      </c>
      <c r="E78">
        <v>9.0800000000000006E-2</v>
      </c>
      <c r="F78" s="5">
        <f t="shared" si="2"/>
        <v>0.49793333333333301</v>
      </c>
      <c r="G78" s="12">
        <v>1</v>
      </c>
      <c r="H78">
        <f t="shared" si="3"/>
        <v>5.0145428666666634</v>
      </c>
    </row>
    <row r="79" spans="1:8">
      <c r="A79" s="1" t="s">
        <v>35</v>
      </c>
      <c r="B79" s="1" t="s">
        <v>31</v>
      </c>
      <c r="C79" s="1" t="s">
        <v>11</v>
      </c>
      <c r="D79" s="5">
        <v>0.67113333333333303</v>
      </c>
      <c r="E79">
        <v>9.0800000000000006E-2</v>
      </c>
      <c r="F79" s="5">
        <f t="shared" si="2"/>
        <v>0.58033333333333303</v>
      </c>
      <c r="G79" s="12">
        <v>1</v>
      </c>
      <c r="H79">
        <f t="shared" si="3"/>
        <v>5.850243666666664</v>
      </c>
    </row>
    <row r="80" spans="1:8">
      <c r="A80" s="1" t="s">
        <v>35</v>
      </c>
      <c r="B80" s="1" t="s">
        <v>31</v>
      </c>
      <c r="C80" s="1" t="s">
        <v>13</v>
      </c>
      <c r="D80" s="5">
        <v>0.882033333333333</v>
      </c>
      <c r="E80">
        <v>9.0800000000000006E-2</v>
      </c>
      <c r="F80" s="5">
        <f t="shared" si="2"/>
        <v>0.79123333333333301</v>
      </c>
      <c r="G80" s="12">
        <v>1</v>
      </c>
      <c r="H80">
        <f t="shared" si="3"/>
        <v>7.9891914666666635</v>
      </c>
    </row>
    <row r="81" spans="1:8">
      <c r="A81" s="1" t="s">
        <v>35</v>
      </c>
      <c r="B81" s="1" t="s">
        <v>31</v>
      </c>
      <c r="C81" s="1" t="s">
        <v>14</v>
      </c>
      <c r="D81" s="5">
        <v>0.95433333333333303</v>
      </c>
      <c r="E81">
        <v>9.0800000000000006E-2</v>
      </c>
      <c r="F81" s="5">
        <f t="shared" si="2"/>
        <v>0.86353333333333304</v>
      </c>
      <c r="G81" s="12">
        <v>1</v>
      </c>
      <c r="H81">
        <f t="shared" si="3"/>
        <v>8.7224580666666629</v>
      </c>
    </row>
    <row r="82" spans="1:8">
      <c r="A82" s="1" t="s">
        <v>35</v>
      </c>
      <c r="B82" s="1" t="s">
        <v>31</v>
      </c>
      <c r="C82" s="1" t="s">
        <v>15</v>
      </c>
      <c r="D82" s="5">
        <v>0.69443333333333301</v>
      </c>
      <c r="E82">
        <v>9.0800000000000006E-2</v>
      </c>
      <c r="F82" s="5">
        <f t="shared" si="2"/>
        <v>0.60363333333333302</v>
      </c>
      <c r="G82" s="12">
        <v>1</v>
      </c>
      <c r="H82">
        <f t="shared" si="3"/>
        <v>6.0865522666666632</v>
      </c>
    </row>
    <row r="83" spans="1:8">
      <c r="A83" s="1" t="s">
        <v>35</v>
      </c>
      <c r="B83" s="1" t="s">
        <v>31</v>
      </c>
      <c r="C83" s="1" t="s">
        <v>17</v>
      </c>
      <c r="D83" s="5">
        <v>0.62433333333333296</v>
      </c>
      <c r="E83">
        <v>9.0800000000000006E-2</v>
      </c>
      <c r="F83" s="5">
        <f t="shared" si="2"/>
        <v>0.53353333333333297</v>
      </c>
      <c r="G83" s="12">
        <v>1</v>
      </c>
      <c r="H83">
        <f t="shared" si="3"/>
        <v>5.3755980666666634</v>
      </c>
    </row>
    <row r="84" spans="1:8">
      <c r="A84" s="1" t="s">
        <v>35</v>
      </c>
      <c r="B84" s="1" t="s">
        <v>31</v>
      </c>
      <c r="C84" s="1" t="s">
        <v>18</v>
      </c>
      <c r="D84" s="5">
        <v>0.68813333333333304</v>
      </c>
      <c r="E84">
        <v>9.0800000000000006E-2</v>
      </c>
      <c r="F84" s="5">
        <f t="shared" si="2"/>
        <v>0.59733333333333305</v>
      </c>
      <c r="G84" s="12">
        <v>1</v>
      </c>
      <c r="H84">
        <f t="shared" si="3"/>
        <v>6.0226576666666638</v>
      </c>
    </row>
    <row r="85" spans="1:8">
      <c r="A85" s="1" t="s">
        <v>35</v>
      </c>
      <c r="B85" s="1" t="s">
        <v>31</v>
      </c>
      <c r="C85" s="1" t="s">
        <v>19</v>
      </c>
      <c r="D85" s="5">
        <v>0.55423333333333302</v>
      </c>
      <c r="E85">
        <v>9.0800000000000006E-2</v>
      </c>
      <c r="F85" s="5">
        <f t="shared" si="2"/>
        <v>0.46343333333333303</v>
      </c>
      <c r="G85" s="12">
        <v>1</v>
      </c>
      <c r="H85">
        <f t="shared" si="3"/>
        <v>4.6646438666666628</v>
      </c>
    </row>
    <row r="86" spans="1:8">
      <c r="A86" s="1" t="s">
        <v>35</v>
      </c>
      <c r="B86" s="1" t="s">
        <v>31</v>
      </c>
      <c r="C86" s="1" t="s">
        <v>21</v>
      </c>
      <c r="D86" s="5">
        <v>0.63243333333333296</v>
      </c>
      <c r="E86">
        <v>9.0800000000000006E-2</v>
      </c>
      <c r="F86" s="5">
        <f t="shared" si="2"/>
        <v>0.54163333333333297</v>
      </c>
      <c r="G86" s="12">
        <v>1</v>
      </c>
      <c r="H86">
        <f t="shared" si="3"/>
        <v>5.4577482666666626</v>
      </c>
    </row>
    <row r="87" spans="1:8">
      <c r="A87" s="1" t="s">
        <v>35</v>
      </c>
      <c r="B87" s="1" t="s">
        <v>31</v>
      </c>
      <c r="C87" s="1" t="s">
        <v>22</v>
      </c>
      <c r="D87" s="5">
        <v>0.64403333333333301</v>
      </c>
      <c r="E87">
        <v>9.0800000000000006E-2</v>
      </c>
      <c r="F87" s="5">
        <f t="shared" si="2"/>
        <v>0.55323333333333302</v>
      </c>
      <c r="G87" s="12">
        <v>1</v>
      </c>
      <c r="H87">
        <f t="shared" si="3"/>
        <v>5.5753954666666639</v>
      </c>
    </row>
    <row r="88" spans="1:8">
      <c r="A88" s="1" t="s">
        <v>35</v>
      </c>
      <c r="B88" s="1" t="s">
        <v>31</v>
      </c>
      <c r="C88" s="1" t="s">
        <v>23</v>
      </c>
      <c r="D88" s="5">
        <v>0.72733333333333305</v>
      </c>
      <c r="E88">
        <v>9.0800000000000006E-2</v>
      </c>
      <c r="F88" s="5">
        <f t="shared" si="2"/>
        <v>0.63653333333333306</v>
      </c>
      <c r="G88" s="12">
        <v>1</v>
      </c>
      <c r="H88">
        <f t="shared" si="3"/>
        <v>6.4202240666666643</v>
      </c>
    </row>
    <row r="89" spans="1:8">
      <c r="A89" s="1" t="s">
        <v>35</v>
      </c>
      <c r="B89" s="1" t="s">
        <v>31</v>
      </c>
      <c r="C89" s="1" t="s">
        <v>25</v>
      </c>
      <c r="D89" s="5">
        <v>0.92243333333333299</v>
      </c>
      <c r="E89">
        <v>9.0800000000000006E-2</v>
      </c>
      <c r="F89" s="5">
        <f t="shared" si="2"/>
        <v>0.831633333333333</v>
      </c>
      <c r="G89" s="12">
        <v>1</v>
      </c>
      <c r="H89">
        <f t="shared" si="3"/>
        <v>8.3989282666666636</v>
      </c>
    </row>
    <row r="90" spans="1:8">
      <c r="A90" s="1" t="s">
        <v>35</v>
      </c>
      <c r="B90" s="1" t="s">
        <v>31</v>
      </c>
      <c r="C90" s="1" t="s">
        <v>26</v>
      </c>
      <c r="D90" s="5">
        <v>0.77183333333333304</v>
      </c>
      <c r="E90">
        <v>9.0800000000000006E-2</v>
      </c>
      <c r="F90" s="5">
        <f t="shared" si="2"/>
        <v>0.68103333333333305</v>
      </c>
      <c r="G90" s="12">
        <v>1</v>
      </c>
      <c r="H90">
        <f t="shared" si="3"/>
        <v>6.8715430666666641</v>
      </c>
    </row>
    <row r="91" spans="1:8">
      <c r="A91" s="1" t="s">
        <v>35</v>
      </c>
      <c r="B91" s="1" t="s">
        <v>31</v>
      </c>
      <c r="C91" s="1" t="s">
        <v>27</v>
      </c>
      <c r="D91" s="5">
        <v>0.67253333333333298</v>
      </c>
      <c r="E91">
        <v>9.0800000000000006E-2</v>
      </c>
      <c r="F91" s="5">
        <f t="shared" si="2"/>
        <v>0.58173333333333299</v>
      </c>
      <c r="G91" s="12">
        <v>1</v>
      </c>
      <c r="H91">
        <f t="shared" si="3"/>
        <v>5.8644424666666639</v>
      </c>
    </row>
    <row r="92" spans="1:8">
      <c r="A92" s="1" t="s">
        <v>35</v>
      </c>
      <c r="B92" s="1" t="s">
        <v>32</v>
      </c>
      <c r="C92" s="2" t="s">
        <v>4</v>
      </c>
      <c r="D92" s="5">
        <v>0.35373333333333301</v>
      </c>
      <c r="E92">
        <v>9.0800000000000006E-2</v>
      </c>
      <c r="F92" s="5">
        <f t="shared" si="2"/>
        <v>0.26293333333333302</v>
      </c>
      <c r="G92" s="12">
        <v>1</v>
      </c>
      <c r="H92">
        <f t="shared" si="3"/>
        <v>2.6311728666666632</v>
      </c>
    </row>
    <row r="93" spans="1:8">
      <c r="A93" s="1" t="s">
        <v>35</v>
      </c>
      <c r="B93" s="1" t="s">
        <v>32</v>
      </c>
      <c r="C93" s="2" t="s">
        <v>6</v>
      </c>
      <c r="D93" s="5">
        <v>0.24023333333333299</v>
      </c>
      <c r="E93">
        <v>9.0800000000000006E-2</v>
      </c>
      <c r="F93" s="5">
        <f t="shared" si="2"/>
        <v>0.14943333333333297</v>
      </c>
      <c r="G93" s="12">
        <v>1</v>
      </c>
      <c r="H93">
        <f t="shared" si="3"/>
        <v>1.480055866666663</v>
      </c>
    </row>
    <row r="94" spans="1:8">
      <c r="A94" s="1" t="s">
        <v>35</v>
      </c>
      <c r="B94" s="1" t="s">
        <v>32</v>
      </c>
      <c r="C94" s="2" t="s">
        <v>7</v>
      </c>
      <c r="D94" s="5">
        <v>0.205133333333333</v>
      </c>
      <c r="E94">
        <v>9.0800000000000006E-2</v>
      </c>
      <c r="F94" s="5">
        <f t="shared" si="2"/>
        <v>0.114333333333333</v>
      </c>
      <c r="G94" s="12">
        <v>1</v>
      </c>
      <c r="H94">
        <f t="shared" si="3"/>
        <v>1.1240716666666632</v>
      </c>
    </row>
    <row r="95" spans="1:8">
      <c r="A95" s="1" t="s">
        <v>35</v>
      </c>
      <c r="B95" s="1" t="s">
        <v>32</v>
      </c>
      <c r="C95" s="2" t="s">
        <v>8</v>
      </c>
      <c r="D95" s="5">
        <v>0.47793333333333299</v>
      </c>
      <c r="E95">
        <v>9.0800000000000006E-2</v>
      </c>
      <c r="F95" s="5">
        <f t="shared" si="2"/>
        <v>0.387133333333333</v>
      </c>
      <c r="G95" s="12">
        <v>1</v>
      </c>
      <c r="H95">
        <f t="shared" si="3"/>
        <v>3.8908092666666629</v>
      </c>
    </row>
    <row r="96" spans="1:8">
      <c r="A96" s="1" t="s">
        <v>35</v>
      </c>
      <c r="B96" s="1" t="s">
        <v>32</v>
      </c>
      <c r="C96" s="2" t="s">
        <v>10</v>
      </c>
      <c r="D96" s="5">
        <v>0.47343333333333298</v>
      </c>
      <c r="E96">
        <v>9.0800000000000006E-2</v>
      </c>
      <c r="F96" s="5">
        <f t="shared" si="2"/>
        <v>0.38263333333333299</v>
      </c>
      <c r="G96" s="12">
        <v>1</v>
      </c>
      <c r="H96">
        <f t="shared" si="3"/>
        <v>3.845170266666663</v>
      </c>
    </row>
    <row r="97" spans="1:8">
      <c r="A97" s="1" t="s">
        <v>35</v>
      </c>
      <c r="B97" s="1" t="s">
        <v>32</v>
      </c>
      <c r="C97" s="2" t="s">
        <v>11</v>
      </c>
      <c r="D97" s="5">
        <v>0.28953333333333298</v>
      </c>
      <c r="E97">
        <v>9.0800000000000006E-2</v>
      </c>
      <c r="F97" s="5">
        <f t="shared" si="2"/>
        <v>0.19873333333333298</v>
      </c>
      <c r="G97" s="12">
        <v>1</v>
      </c>
      <c r="H97">
        <f t="shared" si="3"/>
        <v>1.9800564666666631</v>
      </c>
    </row>
    <row r="98" spans="1:8">
      <c r="A98" s="1" t="s">
        <v>35</v>
      </c>
      <c r="B98" s="1" t="s">
        <v>32</v>
      </c>
      <c r="C98" s="2" t="s">
        <v>12</v>
      </c>
      <c r="D98" s="5">
        <v>0.51093333333333302</v>
      </c>
      <c r="E98">
        <v>9.0800000000000006E-2</v>
      </c>
      <c r="F98" s="5">
        <f t="shared" si="2"/>
        <v>0.42013333333333303</v>
      </c>
      <c r="G98" s="12">
        <v>1</v>
      </c>
      <c r="H98">
        <f t="shared" si="3"/>
        <v>4.2254952666666634</v>
      </c>
    </row>
    <row r="99" spans="1:8">
      <c r="A99" s="1" t="s">
        <v>35</v>
      </c>
      <c r="B99" s="1" t="s">
        <v>32</v>
      </c>
      <c r="C99" s="2" t="s">
        <v>14</v>
      </c>
      <c r="D99" s="5">
        <v>0.60153333333333303</v>
      </c>
      <c r="E99">
        <v>9.0800000000000006E-2</v>
      </c>
      <c r="F99" s="5">
        <f t="shared" si="2"/>
        <v>0.51073333333333304</v>
      </c>
      <c r="G99" s="12">
        <v>1</v>
      </c>
      <c r="H99">
        <f t="shared" si="3"/>
        <v>5.1443604666666642</v>
      </c>
    </row>
    <row r="100" spans="1:8">
      <c r="A100" s="1" t="s">
        <v>35</v>
      </c>
      <c r="B100" s="1" t="s">
        <v>32</v>
      </c>
      <c r="C100" s="2" t="s">
        <v>15</v>
      </c>
      <c r="D100" s="5">
        <v>0.485933333333333</v>
      </c>
      <c r="E100">
        <v>9.0800000000000006E-2</v>
      </c>
      <c r="F100" s="5">
        <f t="shared" si="2"/>
        <v>0.395133333333333</v>
      </c>
      <c r="G100" s="12">
        <v>1</v>
      </c>
      <c r="H100">
        <f t="shared" si="3"/>
        <v>3.9719452666666633</v>
      </c>
    </row>
    <row r="101" spans="1:8">
      <c r="A101" s="1" t="s">
        <v>35</v>
      </c>
      <c r="B101" s="1" t="s">
        <v>32</v>
      </c>
      <c r="C101" s="2" t="s">
        <v>16</v>
      </c>
      <c r="D101" s="5">
        <v>0.32313333333333299</v>
      </c>
      <c r="E101">
        <v>9.0800000000000006E-2</v>
      </c>
      <c r="F101" s="5">
        <f t="shared" si="2"/>
        <v>0.232333333333333</v>
      </c>
      <c r="G101" s="12">
        <v>1</v>
      </c>
      <c r="H101">
        <f t="shared" si="3"/>
        <v>2.3208276666666632</v>
      </c>
    </row>
    <row r="102" spans="1:8">
      <c r="A102" s="1" t="s">
        <v>35</v>
      </c>
      <c r="B102" s="1" t="s">
        <v>32</v>
      </c>
      <c r="C102" s="2" t="s">
        <v>18</v>
      </c>
      <c r="D102" s="5">
        <v>0.44623333333333298</v>
      </c>
      <c r="E102">
        <v>9.0800000000000006E-2</v>
      </c>
      <c r="F102" s="5">
        <f t="shared" si="2"/>
        <v>0.35543333333333299</v>
      </c>
      <c r="G102" s="12">
        <v>1</v>
      </c>
      <c r="H102">
        <f t="shared" si="3"/>
        <v>3.5693078666666631</v>
      </c>
    </row>
    <row r="103" spans="1:8">
      <c r="A103" s="1" t="s">
        <v>35</v>
      </c>
      <c r="B103" s="1" t="s">
        <v>32</v>
      </c>
      <c r="C103" s="2" t="s">
        <v>19</v>
      </c>
      <c r="D103" s="5">
        <v>0.43523333333333297</v>
      </c>
      <c r="E103">
        <v>9.0800000000000006E-2</v>
      </c>
      <c r="F103" s="5">
        <f t="shared" si="2"/>
        <v>0.34443333333333298</v>
      </c>
      <c r="G103" s="12">
        <v>1</v>
      </c>
      <c r="H103">
        <f t="shared" si="3"/>
        <v>3.4577458666666629</v>
      </c>
    </row>
    <row r="104" spans="1:8">
      <c r="A104" s="1" t="s">
        <v>35</v>
      </c>
      <c r="B104" s="1" t="s">
        <v>32</v>
      </c>
      <c r="C104" s="2" t="s">
        <v>20</v>
      </c>
      <c r="D104" s="5">
        <v>0.58473333333333299</v>
      </c>
      <c r="E104">
        <v>9.0800000000000006E-2</v>
      </c>
      <c r="F104" s="5">
        <f t="shared" si="2"/>
        <v>0.493933333333333</v>
      </c>
      <c r="G104" s="12">
        <v>1</v>
      </c>
      <c r="H104">
        <f t="shared" si="3"/>
        <v>4.973974866666663</v>
      </c>
    </row>
    <row r="105" spans="1:8">
      <c r="A105" s="1" t="s">
        <v>35</v>
      </c>
      <c r="B105" s="1" t="s">
        <v>32</v>
      </c>
      <c r="C105" s="2" t="s">
        <v>22</v>
      </c>
      <c r="D105" s="5">
        <v>0.32733333333333298</v>
      </c>
      <c r="E105">
        <v>9.0800000000000006E-2</v>
      </c>
      <c r="F105" s="5">
        <f t="shared" si="2"/>
        <v>0.23653333333333298</v>
      </c>
      <c r="G105" s="12">
        <v>1</v>
      </c>
      <c r="H105">
        <f t="shared" si="3"/>
        <v>2.363424066666663</v>
      </c>
    </row>
    <row r="106" spans="1:8">
      <c r="A106" s="1" t="s">
        <v>35</v>
      </c>
      <c r="B106" s="1" t="s">
        <v>32</v>
      </c>
      <c r="C106" s="2" t="s">
        <v>23</v>
      </c>
      <c r="D106" s="5">
        <v>0.839733333333333</v>
      </c>
      <c r="E106">
        <v>9.0800000000000006E-2</v>
      </c>
      <c r="F106" s="5">
        <f t="shared" si="2"/>
        <v>0.74893333333333301</v>
      </c>
      <c r="G106" s="12">
        <v>1</v>
      </c>
      <c r="H106">
        <f t="shared" si="3"/>
        <v>7.5601848666666633</v>
      </c>
    </row>
    <row r="107" spans="1:8">
      <c r="A107" s="1" t="s">
        <v>35</v>
      </c>
      <c r="B107" s="1" t="s">
        <v>32</v>
      </c>
      <c r="C107" s="2" t="s">
        <v>24</v>
      </c>
      <c r="D107" s="5">
        <v>0.351833333333333</v>
      </c>
      <c r="E107">
        <v>9.0800000000000006E-2</v>
      </c>
      <c r="F107" s="5">
        <f t="shared" si="2"/>
        <v>0.26103333333333301</v>
      </c>
      <c r="G107" s="12">
        <v>1</v>
      </c>
      <c r="H107">
        <f t="shared" si="3"/>
        <v>2.6119030666666632</v>
      </c>
    </row>
    <row r="108" spans="1:8">
      <c r="A108" s="1" t="s">
        <v>35</v>
      </c>
      <c r="B108" s="1" t="s">
        <v>32</v>
      </c>
      <c r="C108" s="2" t="s">
        <v>26</v>
      </c>
      <c r="D108" s="5">
        <v>0.39283333333333298</v>
      </c>
      <c r="E108">
        <v>9.0800000000000006E-2</v>
      </c>
      <c r="F108" s="5">
        <f t="shared" si="2"/>
        <v>0.30203333333333299</v>
      </c>
      <c r="G108" s="12">
        <v>1</v>
      </c>
      <c r="H108">
        <f t="shared" si="3"/>
        <v>3.0277250666666631</v>
      </c>
    </row>
    <row r="109" spans="1:8">
      <c r="A109" s="1" t="s">
        <v>35</v>
      </c>
      <c r="B109" s="1" t="s">
        <v>32</v>
      </c>
      <c r="C109" s="2" t="s">
        <v>27</v>
      </c>
      <c r="D109" s="5">
        <v>0.431433333333333</v>
      </c>
      <c r="E109">
        <v>9.0800000000000006E-2</v>
      </c>
      <c r="F109" s="5">
        <f t="shared" si="2"/>
        <v>0.34063333333333301</v>
      </c>
      <c r="G109" s="12">
        <v>1</v>
      </c>
      <c r="H109">
        <f t="shared" si="3"/>
        <v>3.4192062666666634</v>
      </c>
    </row>
    <row r="110" spans="1:8">
      <c r="A110" s="1" t="s">
        <v>35</v>
      </c>
      <c r="B110" s="1" t="s">
        <v>33</v>
      </c>
      <c r="C110" s="2" t="s">
        <v>4</v>
      </c>
      <c r="D110" s="5">
        <v>0.42725000000000002</v>
      </c>
      <c r="E110">
        <v>9.0800000000000006E-2</v>
      </c>
      <c r="F110" s="5">
        <f t="shared" si="2"/>
        <v>0.33645000000000003</v>
      </c>
      <c r="G110" s="12">
        <v>1</v>
      </c>
      <c r="H110">
        <f t="shared" si="3"/>
        <v>3.3767789000000001</v>
      </c>
    </row>
    <row r="111" spans="1:8">
      <c r="A111" s="1" t="s">
        <v>35</v>
      </c>
      <c r="B111" s="1" t="s">
        <v>33</v>
      </c>
      <c r="C111" s="2" t="s">
        <v>6</v>
      </c>
      <c r="D111" s="5">
        <v>0.41344999999999998</v>
      </c>
      <c r="E111">
        <v>9.0800000000000006E-2</v>
      </c>
      <c r="F111" s="5">
        <f t="shared" si="2"/>
        <v>0.32264999999999999</v>
      </c>
      <c r="G111" s="12">
        <v>1</v>
      </c>
      <c r="H111">
        <f t="shared" si="3"/>
        <v>3.2368193000000001</v>
      </c>
    </row>
    <row r="112" spans="1:8">
      <c r="A112" s="1" t="s">
        <v>35</v>
      </c>
      <c r="B112" s="1" t="s">
        <v>33</v>
      </c>
      <c r="C112" s="2" t="s">
        <v>7</v>
      </c>
      <c r="D112" s="5">
        <v>0.40384999999999999</v>
      </c>
      <c r="E112">
        <v>9.0800000000000006E-2</v>
      </c>
      <c r="F112" s="5">
        <f t="shared" si="2"/>
        <v>0.31304999999999999</v>
      </c>
      <c r="G112" s="12">
        <v>1</v>
      </c>
      <c r="H112">
        <f t="shared" si="3"/>
        <v>3.1394560999999999</v>
      </c>
    </row>
    <row r="113" spans="1:8">
      <c r="A113" s="1" t="s">
        <v>35</v>
      </c>
      <c r="B113" s="1" t="s">
        <v>33</v>
      </c>
      <c r="C113" s="2" t="s">
        <v>8</v>
      </c>
      <c r="D113" s="5">
        <v>0.65264999999999995</v>
      </c>
      <c r="E113">
        <v>9.0800000000000006E-2</v>
      </c>
      <c r="F113" s="5">
        <f t="shared" si="2"/>
        <v>0.56184999999999996</v>
      </c>
      <c r="G113" s="12">
        <v>1</v>
      </c>
      <c r="H113">
        <f t="shared" si="3"/>
        <v>5.6627856999999997</v>
      </c>
    </row>
    <row r="114" spans="1:8">
      <c r="A114" s="1" t="s">
        <v>35</v>
      </c>
      <c r="B114" s="1" t="s">
        <v>33</v>
      </c>
      <c r="C114" s="2" t="s">
        <v>10</v>
      </c>
      <c r="D114" s="5">
        <v>0.53705000000000003</v>
      </c>
      <c r="E114">
        <v>9.0800000000000006E-2</v>
      </c>
      <c r="F114" s="5">
        <f t="shared" si="2"/>
        <v>0.44625000000000004</v>
      </c>
      <c r="G114" s="12">
        <v>1</v>
      </c>
      <c r="H114">
        <f t="shared" si="3"/>
        <v>4.4903705</v>
      </c>
    </row>
    <row r="115" spans="1:8">
      <c r="A115" s="1" t="s">
        <v>35</v>
      </c>
      <c r="B115" s="1" t="s">
        <v>33</v>
      </c>
      <c r="C115" s="2" t="s">
        <v>11</v>
      </c>
      <c r="D115" s="5">
        <v>0.46855000000000002</v>
      </c>
      <c r="E115">
        <v>9.0800000000000006E-2</v>
      </c>
      <c r="F115" s="5">
        <f t="shared" si="2"/>
        <v>0.37775000000000003</v>
      </c>
      <c r="G115" s="12">
        <v>1</v>
      </c>
      <c r="H115">
        <f t="shared" si="3"/>
        <v>3.7956435000000002</v>
      </c>
    </row>
    <row r="116" spans="1:8">
      <c r="A116" s="1" t="s">
        <v>35</v>
      </c>
      <c r="B116" s="1" t="s">
        <v>33</v>
      </c>
      <c r="C116" s="2" t="s">
        <v>12</v>
      </c>
      <c r="D116" s="5">
        <v>0.37845000000000001</v>
      </c>
      <c r="E116">
        <v>9.0800000000000006E-2</v>
      </c>
      <c r="F116" s="5">
        <f t="shared" si="2"/>
        <v>0.28765000000000002</v>
      </c>
      <c r="G116" s="12">
        <v>1</v>
      </c>
      <c r="H116">
        <f t="shared" si="3"/>
        <v>2.8818492999999998</v>
      </c>
    </row>
    <row r="117" spans="1:8">
      <c r="A117" s="1" t="s">
        <v>35</v>
      </c>
      <c r="B117" s="1" t="s">
        <v>33</v>
      </c>
      <c r="C117" s="2" t="s">
        <v>14</v>
      </c>
      <c r="D117" s="5">
        <v>0.44505</v>
      </c>
      <c r="E117">
        <v>9.0800000000000006E-2</v>
      </c>
      <c r="F117" s="5">
        <f t="shared" si="2"/>
        <v>0.35425000000000001</v>
      </c>
      <c r="G117" s="12">
        <v>1</v>
      </c>
      <c r="H117">
        <f t="shared" si="3"/>
        <v>3.5573064999999997</v>
      </c>
    </row>
    <row r="118" spans="1:8">
      <c r="A118" s="1" t="s">
        <v>35</v>
      </c>
      <c r="B118" s="1" t="s">
        <v>33</v>
      </c>
      <c r="C118" s="2" t="s">
        <v>15</v>
      </c>
      <c r="D118" s="5">
        <v>0.46815000000000001</v>
      </c>
      <c r="E118">
        <v>9.0800000000000006E-2</v>
      </c>
      <c r="F118" s="5">
        <f t="shared" si="2"/>
        <v>0.37735000000000002</v>
      </c>
      <c r="G118" s="12">
        <v>1</v>
      </c>
      <c r="H118">
        <f t="shared" si="3"/>
        <v>3.7915867000000003</v>
      </c>
    </row>
    <row r="119" spans="1:8">
      <c r="A119" s="1" t="s">
        <v>35</v>
      </c>
      <c r="B119" s="1" t="s">
        <v>33</v>
      </c>
      <c r="C119" s="2" t="s">
        <v>16</v>
      </c>
      <c r="D119" s="5">
        <v>0.45434999999999998</v>
      </c>
      <c r="E119">
        <v>9.0800000000000006E-2</v>
      </c>
      <c r="F119" s="5">
        <f t="shared" si="2"/>
        <v>0.36354999999999998</v>
      </c>
      <c r="G119" s="12">
        <v>1</v>
      </c>
      <c r="H119">
        <f t="shared" si="3"/>
        <v>3.6516270999999998</v>
      </c>
    </row>
    <row r="120" spans="1:8">
      <c r="A120" s="1" t="s">
        <v>35</v>
      </c>
      <c r="B120" s="1" t="s">
        <v>33</v>
      </c>
      <c r="C120" s="2" t="s">
        <v>18</v>
      </c>
      <c r="D120" s="5">
        <v>0.24204999999999999</v>
      </c>
      <c r="E120">
        <v>9.0800000000000006E-2</v>
      </c>
      <c r="F120" s="5">
        <f t="shared" si="2"/>
        <v>0.15125</v>
      </c>
      <c r="G120" s="12">
        <v>1</v>
      </c>
      <c r="H120">
        <f t="shared" si="3"/>
        <v>1.4984804999999997</v>
      </c>
    </row>
    <row r="121" spans="1:8">
      <c r="A121" s="1" t="s">
        <v>35</v>
      </c>
      <c r="B121" s="1" t="s">
        <v>33</v>
      </c>
      <c r="C121" s="2" t="s">
        <v>19</v>
      </c>
      <c r="D121" s="5">
        <v>0.53544999999999998</v>
      </c>
      <c r="E121">
        <v>9.0800000000000006E-2</v>
      </c>
      <c r="F121" s="5">
        <f t="shared" si="2"/>
        <v>0.44464999999999999</v>
      </c>
      <c r="G121" s="12">
        <v>1</v>
      </c>
      <c r="H121">
        <f t="shared" si="3"/>
        <v>4.4741432999999997</v>
      </c>
    </row>
    <row r="122" spans="1:8">
      <c r="A122" s="1" t="s">
        <v>35</v>
      </c>
      <c r="B122" s="1" t="s">
        <v>33</v>
      </c>
      <c r="C122" s="2" t="s">
        <v>20</v>
      </c>
      <c r="D122" s="5">
        <v>0.42695</v>
      </c>
      <c r="E122">
        <v>9.0800000000000006E-2</v>
      </c>
      <c r="F122" s="5">
        <f t="shared" si="2"/>
        <v>0.33615</v>
      </c>
      <c r="G122" s="12">
        <v>1</v>
      </c>
      <c r="H122">
        <f t="shared" si="3"/>
        <v>3.3737362999999996</v>
      </c>
    </row>
    <row r="123" spans="1:8">
      <c r="A123" s="1" t="s">
        <v>35</v>
      </c>
      <c r="B123" s="1" t="s">
        <v>33</v>
      </c>
      <c r="C123" s="2" t="s">
        <v>22</v>
      </c>
      <c r="D123" s="5">
        <v>0.43545</v>
      </c>
      <c r="E123">
        <v>9.0800000000000006E-2</v>
      </c>
      <c r="F123" s="5">
        <f t="shared" si="2"/>
        <v>0.34465000000000001</v>
      </c>
      <c r="G123" s="12">
        <v>1</v>
      </c>
      <c r="H123">
        <f t="shared" si="3"/>
        <v>3.4599432999999999</v>
      </c>
    </row>
    <row r="124" spans="1:8">
      <c r="A124" s="1" t="s">
        <v>35</v>
      </c>
      <c r="B124" s="1" t="s">
        <v>33</v>
      </c>
      <c r="C124" s="2" t="s">
        <v>23</v>
      </c>
      <c r="D124" s="5">
        <v>0.50505</v>
      </c>
      <c r="E124">
        <v>9.0800000000000006E-2</v>
      </c>
      <c r="F124" s="5">
        <f t="shared" si="2"/>
        <v>0.41425000000000001</v>
      </c>
      <c r="G124" s="12">
        <v>1</v>
      </c>
      <c r="H124">
        <f t="shared" si="3"/>
        <v>4.1658264999999997</v>
      </c>
    </row>
    <row r="125" spans="1:8">
      <c r="A125" s="1" t="s">
        <v>35</v>
      </c>
      <c r="B125" s="1" t="s">
        <v>33</v>
      </c>
      <c r="C125" s="2" t="s">
        <v>24</v>
      </c>
      <c r="D125" s="5">
        <v>0.42335</v>
      </c>
      <c r="E125">
        <v>9.0800000000000006E-2</v>
      </c>
      <c r="F125" s="5">
        <f t="shared" si="2"/>
        <v>0.33255000000000001</v>
      </c>
      <c r="G125" s="12">
        <v>1</v>
      </c>
      <c r="H125">
        <f t="shared" si="3"/>
        <v>3.3372250999999999</v>
      </c>
    </row>
    <row r="126" spans="1:8">
      <c r="A126" s="1" t="s">
        <v>35</v>
      </c>
      <c r="B126" s="1" t="s">
        <v>33</v>
      </c>
      <c r="C126" s="2" t="s">
        <v>26</v>
      </c>
      <c r="D126" s="5">
        <v>0.47875000000000001</v>
      </c>
      <c r="E126">
        <v>9.0800000000000006E-2</v>
      </c>
      <c r="F126" s="5">
        <f t="shared" si="2"/>
        <v>0.38795000000000002</v>
      </c>
      <c r="G126" s="12">
        <v>1</v>
      </c>
      <c r="H126">
        <f t="shared" si="3"/>
        <v>3.8990919000000002</v>
      </c>
    </row>
    <row r="127" spans="1:8">
      <c r="A127" s="1" t="s">
        <v>35</v>
      </c>
      <c r="B127" s="1" t="s">
        <v>33</v>
      </c>
      <c r="C127" s="2" t="s">
        <v>27</v>
      </c>
      <c r="D127" s="5">
        <v>0.41865000000000002</v>
      </c>
      <c r="E127">
        <v>9.0800000000000006E-2</v>
      </c>
      <c r="F127" s="5">
        <f t="shared" si="2"/>
        <v>0.32785000000000003</v>
      </c>
      <c r="G127" s="12">
        <v>1</v>
      </c>
      <c r="H127">
        <f t="shared" si="3"/>
        <v>3.2895577</v>
      </c>
    </row>
    <row r="128" spans="1:8">
      <c r="A128" s="1" t="s">
        <v>35</v>
      </c>
      <c r="B128" s="1" t="s">
        <v>34</v>
      </c>
      <c r="C128" s="2" t="s">
        <v>4</v>
      </c>
      <c r="D128" s="5">
        <v>0.483366666666667</v>
      </c>
      <c r="E128">
        <v>9.0800000000000006E-2</v>
      </c>
      <c r="F128" s="5">
        <f t="shared" si="2"/>
        <v>0.39256666666666701</v>
      </c>
      <c r="G128" s="12">
        <v>1</v>
      </c>
      <c r="H128">
        <f t="shared" si="3"/>
        <v>3.945914133333337</v>
      </c>
    </row>
    <row r="129" spans="1:8">
      <c r="A129" s="1" t="s">
        <v>35</v>
      </c>
      <c r="B129" s="1" t="s">
        <v>34</v>
      </c>
      <c r="C129" s="2" t="s">
        <v>6</v>
      </c>
      <c r="D129" s="5">
        <v>0.50196666666666701</v>
      </c>
      <c r="E129">
        <v>9.0800000000000006E-2</v>
      </c>
      <c r="F129" s="5">
        <f t="shared" si="2"/>
        <v>0.41116666666666701</v>
      </c>
      <c r="G129" s="12">
        <v>1</v>
      </c>
      <c r="H129">
        <f t="shared" si="3"/>
        <v>4.1345553333333367</v>
      </c>
    </row>
    <row r="130" spans="1:8">
      <c r="A130" s="1" t="s">
        <v>35</v>
      </c>
      <c r="B130" s="1" t="s">
        <v>34</v>
      </c>
      <c r="C130" s="2" t="s">
        <v>7</v>
      </c>
      <c r="D130" s="5">
        <v>0.54726666666666701</v>
      </c>
      <c r="E130">
        <v>9.0800000000000006E-2</v>
      </c>
      <c r="F130" s="5">
        <f t="shared" si="2"/>
        <v>0.45646666666666702</v>
      </c>
      <c r="G130" s="12">
        <v>1</v>
      </c>
      <c r="H130">
        <f t="shared" si="3"/>
        <v>4.5939879333333362</v>
      </c>
    </row>
    <row r="131" spans="1:8">
      <c r="A131" s="1" t="s">
        <v>35</v>
      </c>
      <c r="B131" s="1" t="s">
        <v>34</v>
      </c>
      <c r="C131" s="2" t="s">
        <v>8</v>
      </c>
      <c r="D131" s="5">
        <v>0.73926666666666696</v>
      </c>
      <c r="E131">
        <v>9.0800000000000006E-2</v>
      </c>
      <c r="F131" s="5">
        <f t="shared" ref="F131:F194" si="4">D131-E131</f>
        <v>0.64846666666666697</v>
      </c>
      <c r="G131" s="12">
        <v>1</v>
      </c>
      <c r="H131">
        <f t="shared" ref="H131:H194" si="5">0.5071*(F131-0.0035)/0.05*G131</f>
        <v>6.5412519333333359</v>
      </c>
    </row>
    <row r="132" spans="1:8">
      <c r="A132" s="1" t="s">
        <v>35</v>
      </c>
      <c r="B132" s="1" t="s">
        <v>34</v>
      </c>
      <c r="C132" s="2" t="s">
        <v>10</v>
      </c>
      <c r="D132" s="5">
        <v>0.59966666666666701</v>
      </c>
      <c r="E132">
        <v>9.0800000000000006E-2</v>
      </c>
      <c r="F132" s="5">
        <f t="shared" si="4"/>
        <v>0.50886666666666702</v>
      </c>
      <c r="G132" s="12">
        <v>1</v>
      </c>
      <c r="H132">
        <f t="shared" si="5"/>
        <v>5.1254287333333366</v>
      </c>
    </row>
    <row r="133" spans="1:8">
      <c r="A133" s="1" t="s">
        <v>35</v>
      </c>
      <c r="B133" s="1" t="s">
        <v>34</v>
      </c>
      <c r="C133" s="2" t="s">
        <v>11</v>
      </c>
      <c r="D133" s="5">
        <v>0.67666666666666697</v>
      </c>
      <c r="E133">
        <v>9.0800000000000006E-2</v>
      </c>
      <c r="F133" s="5">
        <f t="shared" si="4"/>
        <v>0.58586666666666698</v>
      </c>
      <c r="G133" s="12">
        <v>1</v>
      </c>
      <c r="H133">
        <f t="shared" si="5"/>
        <v>5.9063627333333368</v>
      </c>
    </row>
    <row r="134" spans="1:8">
      <c r="A134" s="1" t="s">
        <v>35</v>
      </c>
      <c r="B134" s="1" t="s">
        <v>34</v>
      </c>
      <c r="C134" s="2" t="s">
        <v>12</v>
      </c>
      <c r="D134" s="5">
        <v>0.92246666666666699</v>
      </c>
      <c r="E134">
        <v>9.0800000000000006E-2</v>
      </c>
      <c r="F134" s="5">
        <f t="shared" si="4"/>
        <v>0.831666666666667</v>
      </c>
      <c r="G134" s="12">
        <v>1</v>
      </c>
      <c r="H134">
        <f t="shared" si="5"/>
        <v>8.3992663333333368</v>
      </c>
    </row>
    <row r="135" spans="1:8">
      <c r="A135" s="1" t="s">
        <v>35</v>
      </c>
      <c r="B135" s="1" t="s">
        <v>34</v>
      </c>
      <c r="C135" s="2" t="s">
        <v>14</v>
      </c>
      <c r="D135" s="5">
        <v>0.60846666666666704</v>
      </c>
      <c r="E135">
        <v>9.0800000000000006E-2</v>
      </c>
      <c r="F135" s="5">
        <f t="shared" si="4"/>
        <v>0.51766666666666705</v>
      </c>
      <c r="G135" s="12">
        <v>1</v>
      </c>
      <c r="H135">
        <f t="shared" si="5"/>
        <v>5.214678333333338</v>
      </c>
    </row>
    <row r="136" spans="1:8">
      <c r="A136" s="1" t="s">
        <v>35</v>
      </c>
      <c r="B136" s="1" t="s">
        <v>34</v>
      </c>
      <c r="C136" s="2" t="s">
        <v>15</v>
      </c>
      <c r="D136" s="6">
        <v>0.45600000000000002</v>
      </c>
      <c r="E136">
        <v>9.0800000000000006E-2</v>
      </c>
      <c r="F136" s="5">
        <f t="shared" si="4"/>
        <v>0.36520000000000002</v>
      </c>
      <c r="G136" s="12">
        <v>4</v>
      </c>
      <c r="H136">
        <f t="shared" si="5"/>
        <v>14.673445600000001</v>
      </c>
    </row>
    <row r="137" spans="1:8">
      <c r="A137" s="1" t="s">
        <v>35</v>
      </c>
      <c r="B137" s="1" t="s">
        <v>34</v>
      </c>
      <c r="C137" s="2" t="s">
        <v>16</v>
      </c>
      <c r="D137" s="5">
        <v>0.75356666666666705</v>
      </c>
      <c r="E137">
        <v>9.0800000000000006E-2</v>
      </c>
      <c r="F137" s="5">
        <f t="shared" si="4"/>
        <v>0.66276666666666706</v>
      </c>
      <c r="G137" s="12">
        <v>1</v>
      </c>
      <c r="H137">
        <f t="shared" si="5"/>
        <v>6.6862825333333369</v>
      </c>
    </row>
    <row r="138" spans="1:8">
      <c r="A138" s="1" t="s">
        <v>35</v>
      </c>
      <c r="B138" s="1" t="s">
        <v>34</v>
      </c>
      <c r="C138" s="2" t="s">
        <v>18</v>
      </c>
      <c r="D138" s="5">
        <v>0.78546666666666698</v>
      </c>
      <c r="E138">
        <v>9.0800000000000006E-2</v>
      </c>
      <c r="F138" s="5">
        <f t="shared" si="4"/>
        <v>0.69466666666666699</v>
      </c>
      <c r="G138" s="12">
        <v>1</v>
      </c>
      <c r="H138">
        <f t="shared" si="5"/>
        <v>7.0098123333333371</v>
      </c>
    </row>
    <row r="139" spans="1:8">
      <c r="A139" s="1" t="s">
        <v>35</v>
      </c>
      <c r="B139" s="1" t="s">
        <v>34</v>
      </c>
      <c r="C139" s="2" t="s">
        <v>19</v>
      </c>
      <c r="D139" s="5">
        <v>0.71746666666666703</v>
      </c>
      <c r="E139">
        <v>9.0800000000000006E-2</v>
      </c>
      <c r="F139" s="5">
        <f t="shared" si="4"/>
        <v>0.62666666666666704</v>
      </c>
      <c r="G139" s="12">
        <v>1</v>
      </c>
      <c r="H139">
        <f t="shared" si="5"/>
        <v>6.3201563333333377</v>
      </c>
    </row>
    <row r="140" spans="1:8">
      <c r="A140" s="1" t="s">
        <v>35</v>
      </c>
      <c r="B140" s="1" t="s">
        <v>34</v>
      </c>
      <c r="C140" s="2" t="s">
        <v>20</v>
      </c>
      <c r="D140" s="5">
        <v>0.43736666666666701</v>
      </c>
      <c r="E140">
        <v>9.0800000000000006E-2</v>
      </c>
      <c r="F140" s="5">
        <f t="shared" si="4"/>
        <v>0.34656666666666702</v>
      </c>
      <c r="G140" s="12">
        <v>1</v>
      </c>
      <c r="H140">
        <f t="shared" si="5"/>
        <v>3.4793821333333366</v>
      </c>
    </row>
    <row r="141" spans="1:8">
      <c r="A141" s="1" t="s">
        <v>35</v>
      </c>
      <c r="B141" s="1" t="s">
        <v>34</v>
      </c>
      <c r="C141" s="2" t="s">
        <v>22</v>
      </c>
      <c r="D141" s="5">
        <v>0.87656666666666705</v>
      </c>
      <c r="E141">
        <v>9.0800000000000006E-2</v>
      </c>
      <c r="F141" s="5">
        <f t="shared" si="4"/>
        <v>0.78576666666666706</v>
      </c>
      <c r="G141" s="12">
        <v>1</v>
      </c>
      <c r="H141">
        <f t="shared" si="5"/>
        <v>7.933748533333338</v>
      </c>
    </row>
    <row r="142" spans="1:8">
      <c r="A142" s="1" t="s">
        <v>35</v>
      </c>
      <c r="B142" s="1" t="s">
        <v>34</v>
      </c>
      <c r="C142" s="2" t="s">
        <v>23</v>
      </c>
      <c r="D142" s="5">
        <v>0.70716666666666705</v>
      </c>
      <c r="E142">
        <v>9.0800000000000006E-2</v>
      </c>
      <c r="F142" s="5">
        <f t="shared" si="4"/>
        <v>0.61636666666666706</v>
      </c>
      <c r="G142" s="12">
        <v>1</v>
      </c>
      <c r="H142">
        <f t="shared" si="5"/>
        <v>6.2156937333333371</v>
      </c>
    </row>
    <row r="143" spans="1:8">
      <c r="A143" s="1" t="s">
        <v>35</v>
      </c>
      <c r="B143" s="1" t="s">
        <v>34</v>
      </c>
      <c r="C143" s="2" t="s">
        <v>24</v>
      </c>
      <c r="D143" s="5">
        <v>0.83216666666666705</v>
      </c>
      <c r="E143">
        <v>9.0800000000000006E-2</v>
      </c>
      <c r="F143" s="5">
        <f t="shared" si="4"/>
        <v>0.74136666666666706</v>
      </c>
      <c r="G143" s="12">
        <v>1</v>
      </c>
      <c r="H143">
        <f t="shared" si="5"/>
        <v>7.4834437333333375</v>
      </c>
    </row>
    <row r="144" spans="1:8">
      <c r="A144" s="1" t="s">
        <v>35</v>
      </c>
      <c r="B144" s="1" t="s">
        <v>34</v>
      </c>
      <c r="C144" s="2" t="s">
        <v>26</v>
      </c>
      <c r="D144" s="5">
        <v>0.907266666666667</v>
      </c>
      <c r="E144">
        <v>9.0800000000000006E-2</v>
      </c>
      <c r="F144" s="5">
        <f t="shared" si="4"/>
        <v>0.81646666666666701</v>
      </c>
      <c r="G144" s="12">
        <v>1</v>
      </c>
      <c r="H144">
        <f t="shared" si="5"/>
        <v>8.2451079333333368</v>
      </c>
    </row>
    <row r="145" spans="1:8">
      <c r="A145" s="1" t="s">
        <v>35</v>
      </c>
      <c r="B145" s="1" t="s">
        <v>34</v>
      </c>
      <c r="C145" s="2" t="s">
        <v>27</v>
      </c>
      <c r="D145" s="6">
        <v>0.51400000000000001</v>
      </c>
      <c r="E145">
        <v>9.0800000000000006E-2</v>
      </c>
      <c r="F145" s="5">
        <f t="shared" si="4"/>
        <v>0.42320000000000002</v>
      </c>
      <c r="G145" s="12">
        <v>4</v>
      </c>
      <c r="H145">
        <f t="shared" si="5"/>
        <v>17.026389599999998</v>
      </c>
    </row>
    <row r="146" spans="1:8">
      <c r="A146" s="1" t="s">
        <v>36</v>
      </c>
      <c r="B146" s="1" t="s">
        <v>37</v>
      </c>
      <c r="C146" s="2" t="s">
        <v>4</v>
      </c>
      <c r="D146" s="5">
        <v>0.39021666666666699</v>
      </c>
      <c r="E146">
        <v>9.0800000000000006E-2</v>
      </c>
      <c r="F146" s="5">
        <f t="shared" si="4"/>
        <v>0.299416666666667</v>
      </c>
      <c r="G146" s="12">
        <v>1</v>
      </c>
      <c r="H146">
        <f t="shared" si="5"/>
        <v>3.0011868333333362</v>
      </c>
    </row>
    <row r="147" spans="1:8">
      <c r="A147" s="1" t="s">
        <v>36</v>
      </c>
      <c r="B147" s="1" t="s">
        <v>37</v>
      </c>
      <c r="C147" s="2" t="s">
        <v>6</v>
      </c>
      <c r="D147" s="5">
        <v>0.54171666666666696</v>
      </c>
      <c r="E147">
        <v>9.0800000000000006E-2</v>
      </c>
      <c r="F147" s="5">
        <f t="shared" si="4"/>
        <v>0.45091666666666697</v>
      </c>
      <c r="G147" s="12">
        <v>1</v>
      </c>
      <c r="H147">
        <f t="shared" si="5"/>
        <v>4.5376998333333356</v>
      </c>
    </row>
    <row r="148" spans="1:8">
      <c r="A148" s="1" t="s">
        <v>36</v>
      </c>
      <c r="B148" s="1" t="s">
        <v>37</v>
      </c>
      <c r="C148" s="2" t="s">
        <v>7</v>
      </c>
      <c r="D148" s="5">
        <v>0.37631666666666702</v>
      </c>
      <c r="E148">
        <v>9.0800000000000006E-2</v>
      </c>
      <c r="F148" s="5">
        <f t="shared" si="4"/>
        <v>0.28551666666666703</v>
      </c>
      <c r="G148" s="12">
        <v>1</v>
      </c>
      <c r="H148">
        <f t="shared" si="5"/>
        <v>2.8602130333333369</v>
      </c>
    </row>
    <row r="149" spans="1:8">
      <c r="A149" s="1" t="s">
        <v>36</v>
      </c>
      <c r="B149" s="1" t="s">
        <v>37</v>
      </c>
      <c r="C149" s="2" t="s">
        <v>8</v>
      </c>
      <c r="D149" s="5">
        <v>0.46791666666666698</v>
      </c>
      <c r="E149">
        <v>9.0800000000000006E-2</v>
      </c>
      <c r="F149" s="5">
        <f t="shared" si="4"/>
        <v>0.37711666666666699</v>
      </c>
      <c r="G149" s="12">
        <v>1</v>
      </c>
      <c r="H149">
        <f t="shared" si="5"/>
        <v>3.789220233333336</v>
      </c>
    </row>
    <row r="150" spans="1:8">
      <c r="A150" s="1" t="s">
        <v>36</v>
      </c>
      <c r="B150" s="1" t="s">
        <v>37</v>
      </c>
      <c r="C150" s="2" t="s">
        <v>10</v>
      </c>
      <c r="D150" s="5">
        <v>0.34481666666666699</v>
      </c>
      <c r="E150">
        <v>9.0800000000000006E-2</v>
      </c>
      <c r="F150" s="5">
        <f t="shared" si="4"/>
        <v>0.254016666666667</v>
      </c>
      <c r="G150" s="12">
        <v>1</v>
      </c>
      <c r="H150">
        <f t="shared" si="5"/>
        <v>2.5407400333333365</v>
      </c>
    </row>
    <row r="151" spans="1:8">
      <c r="A151" s="1" t="s">
        <v>36</v>
      </c>
      <c r="B151" s="1" t="s">
        <v>37</v>
      </c>
      <c r="C151" s="2" t="s">
        <v>11</v>
      </c>
      <c r="D151" s="5">
        <v>0.71091666666666697</v>
      </c>
      <c r="E151">
        <v>9.0800000000000006E-2</v>
      </c>
      <c r="F151" s="5">
        <f t="shared" si="4"/>
        <v>0.62011666666666698</v>
      </c>
      <c r="G151" s="12">
        <v>1</v>
      </c>
      <c r="H151">
        <f t="shared" si="5"/>
        <v>6.2537262333333361</v>
      </c>
    </row>
    <row r="152" spans="1:8">
      <c r="A152" s="1" t="s">
        <v>36</v>
      </c>
      <c r="B152" s="1" t="s">
        <v>37</v>
      </c>
      <c r="C152" s="2" t="s">
        <v>12</v>
      </c>
      <c r="D152" s="5">
        <v>0.31941666666666702</v>
      </c>
      <c r="E152">
        <v>9.0800000000000006E-2</v>
      </c>
      <c r="F152" s="5">
        <f t="shared" si="4"/>
        <v>0.22861666666666702</v>
      </c>
      <c r="G152" s="12">
        <v>1</v>
      </c>
      <c r="H152">
        <f t="shared" si="5"/>
        <v>2.2831332333333365</v>
      </c>
    </row>
    <row r="153" spans="1:8">
      <c r="A153" s="1" t="s">
        <v>36</v>
      </c>
      <c r="B153" s="1" t="s">
        <v>37</v>
      </c>
      <c r="C153" s="2" t="s">
        <v>14</v>
      </c>
      <c r="D153" s="5">
        <v>0.419816666666667</v>
      </c>
      <c r="E153">
        <v>9.0800000000000006E-2</v>
      </c>
      <c r="F153" s="5">
        <f t="shared" si="4"/>
        <v>0.32901666666666701</v>
      </c>
      <c r="G153" s="12">
        <v>1</v>
      </c>
      <c r="H153">
        <f t="shared" si="5"/>
        <v>3.3013900333333366</v>
      </c>
    </row>
    <row r="154" spans="1:8">
      <c r="A154" s="1" t="s">
        <v>36</v>
      </c>
      <c r="B154" s="1" t="s">
        <v>37</v>
      </c>
      <c r="C154" s="2" t="s">
        <v>15</v>
      </c>
      <c r="D154" s="5">
        <v>0.55221666666666702</v>
      </c>
      <c r="E154">
        <v>9.0800000000000006E-2</v>
      </c>
      <c r="F154" s="5">
        <f t="shared" si="4"/>
        <v>0.46141666666666703</v>
      </c>
      <c r="G154" s="12">
        <v>1</v>
      </c>
      <c r="H154">
        <f t="shared" si="5"/>
        <v>4.6441908333333366</v>
      </c>
    </row>
    <row r="155" spans="1:8">
      <c r="A155" s="1" t="s">
        <v>36</v>
      </c>
      <c r="B155" s="1" t="s">
        <v>37</v>
      </c>
      <c r="C155" s="2" t="s">
        <v>16</v>
      </c>
      <c r="D155" s="5">
        <v>0.47131666666666699</v>
      </c>
      <c r="E155">
        <v>9.0800000000000006E-2</v>
      </c>
      <c r="F155" s="5">
        <f t="shared" si="4"/>
        <v>0.380516666666667</v>
      </c>
      <c r="G155" s="12">
        <v>1</v>
      </c>
      <c r="H155">
        <f t="shared" si="5"/>
        <v>3.8237030333333366</v>
      </c>
    </row>
    <row r="156" spans="1:8">
      <c r="A156" s="1" t="s">
        <v>36</v>
      </c>
      <c r="B156" s="1" t="s">
        <v>37</v>
      </c>
      <c r="C156" s="2" t="s">
        <v>18</v>
      </c>
      <c r="D156" s="5">
        <v>0.382016666666667</v>
      </c>
      <c r="E156">
        <v>9.0800000000000006E-2</v>
      </c>
      <c r="F156" s="5">
        <f t="shared" si="4"/>
        <v>0.29121666666666701</v>
      </c>
      <c r="G156" s="12">
        <v>1</v>
      </c>
      <c r="H156">
        <f t="shared" si="5"/>
        <v>2.9180224333333364</v>
      </c>
    </row>
    <row r="157" spans="1:8">
      <c r="A157" s="1" t="s">
        <v>36</v>
      </c>
      <c r="B157" s="1" t="s">
        <v>37</v>
      </c>
      <c r="C157" s="2" t="s">
        <v>19</v>
      </c>
      <c r="D157" s="5">
        <v>0.47451666666666698</v>
      </c>
      <c r="E157">
        <v>9.0800000000000006E-2</v>
      </c>
      <c r="F157" s="5">
        <f t="shared" si="4"/>
        <v>0.38371666666666698</v>
      </c>
      <c r="G157" s="12">
        <v>1</v>
      </c>
      <c r="H157">
        <f t="shared" si="5"/>
        <v>3.8561574333333364</v>
      </c>
    </row>
    <row r="158" spans="1:8">
      <c r="A158" s="1" t="s">
        <v>36</v>
      </c>
      <c r="B158" s="1" t="s">
        <v>37</v>
      </c>
      <c r="C158" s="2" t="s">
        <v>20</v>
      </c>
      <c r="D158" s="5">
        <v>0.41261666666666702</v>
      </c>
      <c r="E158">
        <v>9.0800000000000006E-2</v>
      </c>
      <c r="F158" s="5">
        <f t="shared" si="4"/>
        <v>0.32181666666666703</v>
      </c>
      <c r="G158" s="12">
        <v>1</v>
      </c>
      <c r="H158">
        <f t="shared" si="5"/>
        <v>3.2283676333333369</v>
      </c>
    </row>
    <row r="159" spans="1:8">
      <c r="A159" s="1" t="s">
        <v>36</v>
      </c>
      <c r="B159" s="1" t="s">
        <v>37</v>
      </c>
      <c r="C159" s="2" t="s">
        <v>22</v>
      </c>
      <c r="D159" s="5">
        <v>0.40341666666666698</v>
      </c>
      <c r="E159">
        <v>9.0800000000000006E-2</v>
      </c>
      <c r="F159" s="5">
        <f t="shared" si="4"/>
        <v>0.31261666666666699</v>
      </c>
      <c r="G159" s="12">
        <v>1</v>
      </c>
      <c r="H159">
        <f t="shared" si="5"/>
        <v>3.1350612333333365</v>
      </c>
    </row>
    <row r="160" spans="1:8">
      <c r="A160" s="1" t="s">
        <v>36</v>
      </c>
      <c r="B160" s="1" t="s">
        <v>37</v>
      </c>
      <c r="C160" s="2" t="s">
        <v>23</v>
      </c>
      <c r="D160" s="5">
        <v>0.398716666666667</v>
      </c>
      <c r="E160">
        <v>9.0800000000000006E-2</v>
      </c>
      <c r="F160" s="5">
        <f t="shared" si="4"/>
        <v>0.307916666666667</v>
      </c>
      <c r="G160" s="12">
        <v>1</v>
      </c>
      <c r="H160">
        <f t="shared" si="5"/>
        <v>3.0873938333333366</v>
      </c>
    </row>
    <row r="161" spans="1:8">
      <c r="A161" s="1" t="s">
        <v>36</v>
      </c>
      <c r="B161" s="1" t="s">
        <v>37</v>
      </c>
      <c r="C161" s="2" t="s">
        <v>24</v>
      </c>
      <c r="D161" s="5">
        <v>0.414816666666667</v>
      </c>
      <c r="E161">
        <v>9.0800000000000006E-2</v>
      </c>
      <c r="F161" s="5">
        <f t="shared" si="4"/>
        <v>0.32401666666666701</v>
      </c>
      <c r="G161" s="12">
        <v>1</v>
      </c>
      <c r="H161">
        <f t="shared" si="5"/>
        <v>3.2506800333333365</v>
      </c>
    </row>
    <row r="162" spans="1:8">
      <c r="A162" s="1" t="s">
        <v>36</v>
      </c>
      <c r="B162" s="1" t="s">
        <v>37</v>
      </c>
      <c r="C162" s="2" t="s">
        <v>26</v>
      </c>
      <c r="D162" s="5">
        <v>0.40481666666666699</v>
      </c>
      <c r="E162">
        <v>9.0800000000000006E-2</v>
      </c>
      <c r="F162" s="5">
        <f t="shared" si="4"/>
        <v>0.314016666666667</v>
      </c>
      <c r="G162" s="12">
        <v>1</v>
      </c>
      <c r="H162">
        <f t="shared" si="5"/>
        <v>3.1492600333333365</v>
      </c>
    </row>
    <row r="163" spans="1:8">
      <c r="A163" s="1" t="s">
        <v>36</v>
      </c>
      <c r="B163" s="1" t="s">
        <v>37</v>
      </c>
      <c r="C163" s="2" t="s">
        <v>27</v>
      </c>
      <c r="D163" s="5">
        <v>0.55421666666666702</v>
      </c>
      <c r="E163">
        <v>9.0800000000000006E-2</v>
      </c>
      <c r="F163" s="5">
        <f t="shared" si="4"/>
        <v>0.46341666666666703</v>
      </c>
      <c r="G163" s="12">
        <v>1</v>
      </c>
      <c r="H163">
        <f t="shared" si="5"/>
        <v>4.6644748333333368</v>
      </c>
    </row>
    <row r="164" spans="1:8">
      <c r="A164" s="1" t="s">
        <v>36</v>
      </c>
      <c r="B164" s="1" t="s">
        <v>38</v>
      </c>
      <c r="C164" s="2" t="s">
        <v>4</v>
      </c>
      <c r="D164" s="5">
        <v>0.42928333333333302</v>
      </c>
      <c r="E164">
        <v>9.0800000000000006E-2</v>
      </c>
      <c r="F164" s="5">
        <f t="shared" si="4"/>
        <v>0.33848333333333303</v>
      </c>
      <c r="G164" s="12">
        <v>1</v>
      </c>
      <c r="H164">
        <f t="shared" si="5"/>
        <v>3.3974009666666629</v>
      </c>
    </row>
    <row r="165" spans="1:8">
      <c r="A165" s="1" t="s">
        <v>36</v>
      </c>
      <c r="B165" s="1" t="s">
        <v>38</v>
      </c>
      <c r="C165" s="2" t="s">
        <v>6</v>
      </c>
      <c r="D165" s="5">
        <v>0.64208333333333301</v>
      </c>
      <c r="E165">
        <v>9.0800000000000006E-2</v>
      </c>
      <c r="F165" s="5">
        <f t="shared" si="4"/>
        <v>0.55128333333333301</v>
      </c>
      <c r="G165" s="12">
        <v>1</v>
      </c>
      <c r="H165">
        <f t="shared" si="5"/>
        <v>5.5556185666666629</v>
      </c>
    </row>
    <row r="166" spans="1:8">
      <c r="A166" s="1" t="s">
        <v>36</v>
      </c>
      <c r="B166" s="1" t="s">
        <v>38</v>
      </c>
      <c r="C166" s="2" t="s">
        <v>7</v>
      </c>
      <c r="D166" s="5">
        <v>0.43208333333333299</v>
      </c>
      <c r="E166">
        <v>9.0800000000000006E-2</v>
      </c>
      <c r="F166" s="5">
        <f t="shared" si="4"/>
        <v>0.34128333333333299</v>
      </c>
      <c r="G166" s="12">
        <v>1</v>
      </c>
      <c r="H166">
        <f t="shared" si="5"/>
        <v>3.4257985666666628</v>
      </c>
    </row>
    <row r="167" spans="1:8">
      <c r="A167" s="1" t="s">
        <v>36</v>
      </c>
      <c r="B167" s="1" t="s">
        <v>38</v>
      </c>
      <c r="C167" s="2" t="s">
        <v>8</v>
      </c>
      <c r="D167" s="5">
        <v>0.51588333333333303</v>
      </c>
      <c r="E167">
        <v>9.0800000000000006E-2</v>
      </c>
      <c r="F167" s="5">
        <f t="shared" si="4"/>
        <v>0.42508333333333304</v>
      </c>
      <c r="G167" s="12">
        <v>1</v>
      </c>
      <c r="H167">
        <f t="shared" si="5"/>
        <v>4.2756981666666638</v>
      </c>
    </row>
    <row r="168" spans="1:8">
      <c r="A168" s="1" t="s">
        <v>36</v>
      </c>
      <c r="B168" s="1" t="s">
        <v>38</v>
      </c>
      <c r="C168" s="2" t="s">
        <v>10</v>
      </c>
      <c r="D168" s="5">
        <v>0.31168333333333298</v>
      </c>
      <c r="E168">
        <v>9.0800000000000006E-2</v>
      </c>
      <c r="F168" s="5">
        <f t="shared" si="4"/>
        <v>0.22088333333333299</v>
      </c>
      <c r="G168" s="12">
        <v>1</v>
      </c>
      <c r="H168">
        <f t="shared" si="5"/>
        <v>2.2047017666666631</v>
      </c>
    </row>
    <row r="169" spans="1:8">
      <c r="A169" s="1" t="s">
        <v>36</v>
      </c>
      <c r="B169" s="1" t="s">
        <v>38</v>
      </c>
      <c r="C169" s="2" t="s">
        <v>11</v>
      </c>
      <c r="D169" s="5">
        <v>0.41568333333333302</v>
      </c>
      <c r="E169">
        <v>9.0800000000000006E-2</v>
      </c>
      <c r="F169" s="5">
        <f t="shared" si="4"/>
        <v>0.32488333333333302</v>
      </c>
      <c r="G169" s="12">
        <v>1</v>
      </c>
      <c r="H169">
        <f t="shared" si="5"/>
        <v>3.2594697666666632</v>
      </c>
    </row>
    <row r="170" spans="1:8">
      <c r="A170" s="1" t="s">
        <v>36</v>
      </c>
      <c r="B170" s="1" t="s">
        <v>38</v>
      </c>
      <c r="C170" s="2" t="s">
        <v>12</v>
      </c>
      <c r="D170" s="5">
        <v>0.77078333333333304</v>
      </c>
      <c r="E170">
        <v>9.0800000000000006E-2</v>
      </c>
      <c r="F170" s="5">
        <f t="shared" si="4"/>
        <v>0.67998333333333305</v>
      </c>
      <c r="G170" s="12">
        <v>1</v>
      </c>
      <c r="H170">
        <f t="shared" si="5"/>
        <v>6.860893966666664</v>
      </c>
    </row>
    <row r="171" spans="1:8">
      <c r="A171" s="1" t="s">
        <v>36</v>
      </c>
      <c r="B171" s="1" t="s">
        <v>38</v>
      </c>
      <c r="C171" s="2" t="s">
        <v>14</v>
      </c>
      <c r="D171" s="5">
        <v>0.43538333333333301</v>
      </c>
      <c r="E171">
        <v>9.0800000000000006E-2</v>
      </c>
      <c r="F171" s="5">
        <f t="shared" si="4"/>
        <v>0.34458333333333302</v>
      </c>
      <c r="G171" s="12">
        <v>1</v>
      </c>
      <c r="H171">
        <f t="shared" si="5"/>
        <v>3.4592671666666632</v>
      </c>
    </row>
    <row r="172" spans="1:8">
      <c r="A172" s="1" t="s">
        <v>36</v>
      </c>
      <c r="B172" s="1" t="s">
        <v>38</v>
      </c>
      <c r="C172" s="2" t="s">
        <v>15</v>
      </c>
      <c r="D172" s="5">
        <v>0.43138333333333301</v>
      </c>
      <c r="E172">
        <v>9.0800000000000006E-2</v>
      </c>
      <c r="F172" s="5">
        <f t="shared" si="4"/>
        <v>0.34058333333333302</v>
      </c>
      <c r="G172" s="12">
        <v>1</v>
      </c>
      <c r="H172">
        <f t="shared" si="5"/>
        <v>3.4186991666666633</v>
      </c>
    </row>
    <row r="173" spans="1:8">
      <c r="A173" s="1" t="s">
        <v>36</v>
      </c>
      <c r="B173" s="1" t="s">
        <v>38</v>
      </c>
      <c r="C173" s="2" t="s">
        <v>16</v>
      </c>
      <c r="D173" s="5">
        <v>0.44538333333333302</v>
      </c>
      <c r="E173">
        <v>9.0800000000000006E-2</v>
      </c>
      <c r="F173" s="5">
        <f t="shared" si="4"/>
        <v>0.35458333333333303</v>
      </c>
      <c r="G173" s="12">
        <v>1</v>
      </c>
      <c r="H173">
        <f t="shared" si="5"/>
        <v>3.5606871666666633</v>
      </c>
    </row>
    <row r="174" spans="1:8">
      <c r="A174" s="1" t="s">
        <v>36</v>
      </c>
      <c r="B174" s="1" t="s">
        <v>38</v>
      </c>
      <c r="C174" s="2" t="s">
        <v>18</v>
      </c>
      <c r="D174" s="5">
        <v>0.41508333333333303</v>
      </c>
      <c r="E174">
        <v>9.0800000000000006E-2</v>
      </c>
      <c r="F174" s="5">
        <f t="shared" si="4"/>
        <v>0.32428333333333303</v>
      </c>
      <c r="G174" s="12">
        <v>1</v>
      </c>
      <c r="H174">
        <f t="shared" si="5"/>
        <v>3.253384566666663</v>
      </c>
    </row>
    <row r="175" spans="1:8">
      <c r="A175" s="1" t="s">
        <v>36</v>
      </c>
      <c r="B175" s="1" t="s">
        <v>38</v>
      </c>
      <c r="C175" s="2" t="s">
        <v>19</v>
      </c>
      <c r="D175" s="5">
        <v>0.43538333333333301</v>
      </c>
      <c r="E175">
        <v>9.0800000000000006E-2</v>
      </c>
      <c r="F175" s="5">
        <f t="shared" si="4"/>
        <v>0.34458333333333302</v>
      </c>
      <c r="G175" s="12">
        <v>1</v>
      </c>
      <c r="H175">
        <f t="shared" si="5"/>
        <v>3.4592671666666632</v>
      </c>
    </row>
    <row r="176" spans="1:8">
      <c r="A176" s="1" t="s">
        <v>36</v>
      </c>
      <c r="B176" s="1" t="s">
        <v>38</v>
      </c>
      <c r="C176" s="2" t="s">
        <v>20</v>
      </c>
      <c r="D176" s="5">
        <v>0.58998333333333297</v>
      </c>
      <c r="E176">
        <v>9.0800000000000006E-2</v>
      </c>
      <c r="F176" s="5">
        <f t="shared" si="4"/>
        <v>0.49918333333333298</v>
      </c>
      <c r="G176" s="12">
        <v>1</v>
      </c>
      <c r="H176">
        <f t="shared" si="5"/>
        <v>5.0272203666666622</v>
      </c>
    </row>
    <row r="177" spans="1:8">
      <c r="A177" s="1" t="s">
        <v>36</v>
      </c>
      <c r="B177" s="1" t="s">
        <v>38</v>
      </c>
      <c r="C177" s="2" t="s">
        <v>22</v>
      </c>
      <c r="D177" s="5">
        <v>0.39548333333333302</v>
      </c>
      <c r="E177">
        <v>9.0800000000000006E-2</v>
      </c>
      <c r="F177" s="5">
        <f t="shared" si="4"/>
        <v>0.30468333333333303</v>
      </c>
      <c r="G177" s="12">
        <v>1</v>
      </c>
      <c r="H177">
        <f t="shared" si="5"/>
        <v>3.0546013666666632</v>
      </c>
    </row>
    <row r="178" spans="1:8">
      <c r="A178" s="1" t="s">
        <v>36</v>
      </c>
      <c r="B178" s="1" t="s">
        <v>38</v>
      </c>
      <c r="C178" s="2" t="s">
        <v>23</v>
      </c>
      <c r="D178" s="5">
        <v>0.34028333333333299</v>
      </c>
      <c r="E178">
        <v>9.0800000000000006E-2</v>
      </c>
      <c r="F178" s="5">
        <f t="shared" si="4"/>
        <v>0.249483333333333</v>
      </c>
      <c r="G178" s="12">
        <v>1</v>
      </c>
      <c r="H178">
        <f t="shared" si="5"/>
        <v>2.4947629666666629</v>
      </c>
    </row>
    <row r="179" spans="1:8">
      <c r="A179" s="1" t="s">
        <v>36</v>
      </c>
      <c r="B179" s="1" t="s">
        <v>38</v>
      </c>
      <c r="C179" s="2" t="s">
        <v>24</v>
      </c>
      <c r="D179" s="5">
        <v>0.34988333333333299</v>
      </c>
      <c r="E179">
        <v>9.0800000000000006E-2</v>
      </c>
      <c r="F179" s="5">
        <f t="shared" si="4"/>
        <v>0.259083333333333</v>
      </c>
      <c r="G179" s="12">
        <v>1</v>
      </c>
      <c r="H179">
        <f t="shared" si="5"/>
        <v>2.5921261666666631</v>
      </c>
    </row>
    <row r="180" spans="1:8">
      <c r="A180" s="1" t="s">
        <v>36</v>
      </c>
      <c r="B180" s="1" t="s">
        <v>38</v>
      </c>
      <c r="C180" s="2" t="s">
        <v>26</v>
      </c>
      <c r="D180" s="5">
        <v>0.69138333333333302</v>
      </c>
      <c r="E180">
        <v>9.0800000000000006E-2</v>
      </c>
      <c r="F180" s="5">
        <f t="shared" si="4"/>
        <v>0.60058333333333302</v>
      </c>
      <c r="G180" s="12">
        <v>1</v>
      </c>
      <c r="H180">
        <f t="shared" si="5"/>
        <v>6.0556191666666637</v>
      </c>
    </row>
    <row r="181" spans="1:8">
      <c r="A181" s="1" t="s">
        <v>36</v>
      </c>
      <c r="B181" s="1" t="s">
        <v>38</v>
      </c>
      <c r="C181" s="2" t="s">
        <v>27</v>
      </c>
      <c r="D181" s="5">
        <v>0.79868333333333297</v>
      </c>
      <c r="E181">
        <v>9.0800000000000006E-2</v>
      </c>
      <c r="F181" s="5">
        <f t="shared" si="4"/>
        <v>0.70788333333333298</v>
      </c>
      <c r="G181" s="12">
        <v>1</v>
      </c>
      <c r="H181">
        <f t="shared" si="5"/>
        <v>7.1438557666666629</v>
      </c>
    </row>
    <row r="182" spans="1:8">
      <c r="A182" s="1" t="s">
        <v>36</v>
      </c>
      <c r="B182" s="1" t="s">
        <v>39</v>
      </c>
      <c r="C182" s="2" t="s">
        <v>4</v>
      </c>
      <c r="D182" s="5">
        <v>0.41520000000000001</v>
      </c>
      <c r="E182">
        <v>9.0800000000000006E-2</v>
      </c>
      <c r="F182" s="5">
        <f t="shared" si="4"/>
        <v>0.32440000000000002</v>
      </c>
      <c r="G182" s="12">
        <v>1</v>
      </c>
      <c r="H182">
        <f t="shared" si="5"/>
        <v>3.2545677999999998</v>
      </c>
    </row>
    <row r="183" spans="1:8">
      <c r="A183" s="1" t="s">
        <v>36</v>
      </c>
      <c r="B183" s="1" t="s">
        <v>39</v>
      </c>
      <c r="C183" s="2" t="s">
        <v>6</v>
      </c>
      <c r="D183" s="5">
        <v>0.82050000000000001</v>
      </c>
      <c r="E183">
        <v>9.0800000000000006E-2</v>
      </c>
      <c r="F183" s="5">
        <f t="shared" si="4"/>
        <v>0.72970000000000002</v>
      </c>
      <c r="G183" s="12">
        <v>1</v>
      </c>
      <c r="H183">
        <f t="shared" si="5"/>
        <v>7.3651204000000003</v>
      </c>
    </row>
    <row r="184" spans="1:8">
      <c r="A184" s="1" t="s">
        <v>36</v>
      </c>
      <c r="B184" s="1" t="s">
        <v>39</v>
      </c>
      <c r="C184" s="2" t="s">
        <v>7</v>
      </c>
      <c r="D184" s="5">
        <v>0.52829999999999999</v>
      </c>
      <c r="E184">
        <v>9.0800000000000006E-2</v>
      </c>
      <c r="F184" s="5">
        <f t="shared" si="4"/>
        <v>0.4375</v>
      </c>
      <c r="G184" s="12">
        <v>1</v>
      </c>
      <c r="H184">
        <f t="shared" si="5"/>
        <v>4.4016279999999997</v>
      </c>
    </row>
    <row r="185" spans="1:8">
      <c r="A185" s="1" t="s">
        <v>36</v>
      </c>
      <c r="B185" s="1" t="s">
        <v>39</v>
      </c>
      <c r="C185" s="2" t="s">
        <v>8</v>
      </c>
      <c r="D185" s="5">
        <v>0.77800000000000002</v>
      </c>
      <c r="E185">
        <v>9.0800000000000006E-2</v>
      </c>
      <c r="F185" s="5">
        <f t="shared" si="4"/>
        <v>0.68720000000000003</v>
      </c>
      <c r="G185" s="12">
        <v>1</v>
      </c>
      <c r="H185">
        <f t="shared" si="5"/>
        <v>6.9340854000000007</v>
      </c>
    </row>
    <row r="186" spans="1:8">
      <c r="A186" s="1" t="s">
        <v>36</v>
      </c>
      <c r="B186" s="1" t="s">
        <v>39</v>
      </c>
      <c r="C186" s="2" t="s">
        <v>10</v>
      </c>
      <c r="D186" s="5">
        <v>0.5554</v>
      </c>
      <c r="E186">
        <v>9.0800000000000006E-2</v>
      </c>
      <c r="F186" s="5">
        <f t="shared" si="4"/>
        <v>0.46460000000000001</v>
      </c>
      <c r="G186" s="12">
        <v>1</v>
      </c>
      <c r="H186">
        <f t="shared" si="5"/>
        <v>4.6764761999999997</v>
      </c>
    </row>
    <row r="187" spans="1:8">
      <c r="A187" s="1" t="s">
        <v>36</v>
      </c>
      <c r="B187" s="1" t="s">
        <v>39</v>
      </c>
      <c r="C187" s="2" t="s">
        <v>11</v>
      </c>
      <c r="D187" s="5">
        <v>0.55389999999999995</v>
      </c>
      <c r="E187">
        <v>9.0800000000000006E-2</v>
      </c>
      <c r="F187" s="5">
        <f t="shared" si="4"/>
        <v>0.46309999999999996</v>
      </c>
      <c r="G187" s="12">
        <v>1</v>
      </c>
      <c r="H187">
        <f t="shared" si="5"/>
        <v>4.6612631999999987</v>
      </c>
    </row>
    <row r="188" spans="1:8">
      <c r="A188" s="1" t="s">
        <v>36</v>
      </c>
      <c r="B188" s="1" t="s">
        <v>39</v>
      </c>
      <c r="C188" s="2" t="s">
        <v>12</v>
      </c>
      <c r="D188" s="5">
        <v>0.65129999999999999</v>
      </c>
      <c r="E188">
        <v>9.0800000000000006E-2</v>
      </c>
      <c r="F188" s="5">
        <f t="shared" si="4"/>
        <v>0.5605</v>
      </c>
      <c r="G188" s="12">
        <v>1</v>
      </c>
      <c r="H188">
        <f t="shared" si="5"/>
        <v>5.6490939999999998</v>
      </c>
    </row>
    <row r="189" spans="1:8">
      <c r="A189" s="1" t="s">
        <v>36</v>
      </c>
      <c r="B189" s="1" t="s">
        <v>39</v>
      </c>
      <c r="C189" s="2" t="s">
        <v>14</v>
      </c>
      <c r="D189" s="5">
        <v>0.43359999999999999</v>
      </c>
      <c r="E189">
        <v>9.0800000000000006E-2</v>
      </c>
      <c r="F189" s="5">
        <f t="shared" si="4"/>
        <v>0.34279999999999999</v>
      </c>
      <c r="G189" s="12">
        <v>1</v>
      </c>
      <c r="H189">
        <f t="shared" si="5"/>
        <v>3.4411806</v>
      </c>
    </row>
    <row r="190" spans="1:8">
      <c r="A190" s="1" t="s">
        <v>36</v>
      </c>
      <c r="B190" s="1" t="s">
        <v>39</v>
      </c>
      <c r="C190" s="2" t="s">
        <v>15</v>
      </c>
      <c r="D190" s="5">
        <v>0.66539999999999999</v>
      </c>
      <c r="E190">
        <v>9.0800000000000006E-2</v>
      </c>
      <c r="F190" s="5">
        <f t="shared" si="4"/>
        <v>0.5746</v>
      </c>
      <c r="G190" s="12">
        <v>1</v>
      </c>
      <c r="H190">
        <f t="shared" si="5"/>
        <v>5.7920962000000005</v>
      </c>
    </row>
    <row r="191" spans="1:8">
      <c r="A191" s="1" t="s">
        <v>36</v>
      </c>
      <c r="B191" s="1" t="s">
        <v>39</v>
      </c>
      <c r="C191" s="2" t="s">
        <v>16</v>
      </c>
      <c r="D191" s="5">
        <v>0.43419999999999997</v>
      </c>
      <c r="E191">
        <v>9.0800000000000006E-2</v>
      </c>
      <c r="F191" s="5">
        <f t="shared" si="4"/>
        <v>0.34339999999999998</v>
      </c>
      <c r="G191" s="12">
        <v>1</v>
      </c>
      <c r="H191">
        <f t="shared" si="5"/>
        <v>3.4472657999999994</v>
      </c>
    </row>
    <row r="192" spans="1:8">
      <c r="A192" s="1" t="s">
        <v>36</v>
      </c>
      <c r="B192" s="1" t="s">
        <v>39</v>
      </c>
      <c r="C192" s="2" t="s">
        <v>18</v>
      </c>
      <c r="D192" s="5">
        <v>0.65429999999999999</v>
      </c>
      <c r="E192">
        <v>9.0800000000000006E-2</v>
      </c>
      <c r="F192" s="5">
        <f t="shared" si="4"/>
        <v>0.5635</v>
      </c>
      <c r="G192" s="12">
        <v>1</v>
      </c>
      <c r="H192">
        <f t="shared" si="5"/>
        <v>5.6795200000000001</v>
      </c>
    </row>
    <row r="193" spans="1:8">
      <c r="A193" s="1" t="s">
        <v>36</v>
      </c>
      <c r="B193" s="1" t="s">
        <v>39</v>
      </c>
      <c r="C193" s="2" t="s">
        <v>19</v>
      </c>
      <c r="D193" s="5">
        <v>0.63529999999999998</v>
      </c>
      <c r="E193">
        <v>9.0800000000000006E-2</v>
      </c>
      <c r="F193" s="5">
        <f t="shared" si="4"/>
        <v>0.54449999999999998</v>
      </c>
      <c r="G193" s="12">
        <v>1</v>
      </c>
      <c r="H193">
        <f t="shared" si="5"/>
        <v>5.4868220000000001</v>
      </c>
    </row>
    <row r="194" spans="1:8">
      <c r="A194" s="1" t="s">
        <v>36</v>
      </c>
      <c r="B194" s="1" t="s">
        <v>39</v>
      </c>
      <c r="C194" s="2" t="s">
        <v>20</v>
      </c>
      <c r="D194" s="5">
        <v>0.34839999999999999</v>
      </c>
      <c r="E194">
        <v>9.0800000000000006E-2</v>
      </c>
      <c r="F194" s="5">
        <f t="shared" si="4"/>
        <v>0.2576</v>
      </c>
      <c r="G194" s="12">
        <v>1</v>
      </c>
      <c r="H194">
        <f t="shared" si="5"/>
        <v>2.5770821999999995</v>
      </c>
    </row>
    <row r="195" spans="1:8">
      <c r="A195" s="1" t="s">
        <v>36</v>
      </c>
      <c r="B195" s="1" t="s">
        <v>39</v>
      </c>
      <c r="C195" s="2" t="s">
        <v>22</v>
      </c>
      <c r="D195" s="5">
        <v>0.55349999999999999</v>
      </c>
      <c r="E195">
        <v>9.0800000000000006E-2</v>
      </c>
      <c r="F195" s="5">
        <f t="shared" ref="F195:F258" si="6">D195-E195</f>
        <v>0.4627</v>
      </c>
      <c r="G195" s="12">
        <v>1</v>
      </c>
      <c r="H195">
        <f t="shared" ref="H195:H258" si="7">0.5071*(F195-0.0035)/0.05*G195</f>
        <v>4.6572063999999997</v>
      </c>
    </row>
    <row r="196" spans="1:8">
      <c r="A196" s="1" t="s">
        <v>36</v>
      </c>
      <c r="B196" s="1" t="s">
        <v>39</v>
      </c>
      <c r="C196" s="2" t="s">
        <v>23</v>
      </c>
      <c r="D196" s="5">
        <v>0.5847</v>
      </c>
      <c r="E196">
        <v>9.0800000000000006E-2</v>
      </c>
      <c r="F196" s="5">
        <f t="shared" si="6"/>
        <v>0.49390000000000001</v>
      </c>
      <c r="G196" s="12">
        <v>1</v>
      </c>
      <c r="H196">
        <f t="shared" si="7"/>
        <v>4.9736367999999995</v>
      </c>
    </row>
    <row r="197" spans="1:8">
      <c r="A197" s="1" t="s">
        <v>36</v>
      </c>
      <c r="B197" s="1" t="s">
        <v>39</v>
      </c>
      <c r="C197" s="2" t="s">
        <v>24</v>
      </c>
      <c r="D197" s="5">
        <v>0.52480000000000004</v>
      </c>
      <c r="E197">
        <v>9.0800000000000006E-2</v>
      </c>
      <c r="F197" s="5">
        <f t="shared" si="6"/>
        <v>0.43400000000000005</v>
      </c>
      <c r="G197" s="12">
        <v>1</v>
      </c>
      <c r="H197">
        <f t="shared" si="7"/>
        <v>4.3661310000000002</v>
      </c>
    </row>
    <row r="198" spans="1:8">
      <c r="A198" s="1" t="s">
        <v>36</v>
      </c>
      <c r="B198" s="1" t="s">
        <v>39</v>
      </c>
      <c r="C198" s="2" t="s">
        <v>26</v>
      </c>
      <c r="D198" s="5">
        <v>0.624</v>
      </c>
      <c r="E198">
        <v>9.0800000000000006E-2</v>
      </c>
      <c r="F198" s="5">
        <f t="shared" si="6"/>
        <v>0.53320000000000001</v>
      </c>
      <c r="G198" s="12">
        <v>1</v>
      </c>
      <c r="H198">
        <f t="shared" si="7"/>
        <v>5.3722173999999994</v>
      </c>
    </row>
    <row r="199" spans="1:8">
      <c r="A199" s="1" t="s">
        <v>36</v>
      </c>
      <c r="B199" s="1" t="s">
        <v>39</v>
      </c>
      <c r="C199" s="2" t="s">
        <v>27</v>
      </c>
      <c r="D199" s="5">
        <v>0.42330000000000001</v>
      </c>
      <c r="E199">
        <v>9.0800000000000006E-2</v>
      </c>
      <c r="F199" s="5">
        <f t="shared" si="6"/>
        <v>0.33250000000000002</v>
      </c>
      <c r="G199" s="12">
        <v>1</v>
      </c>
      <c r="H199">
        <f t="shared" si="7"/>
        <v>3.3367179999999999</v>
      </c>
    </row>
    <row r="200" spans="1:8">
      <c r="A200" s="1" t="s">
        <v>36</v>
      </c>
      <c r="B200" s="1" t="s">
        <v>40</v>
      </c>
      <c r="C200" s="2" t="s">
        <v>4</v>
      </c>
      <c r="D200" s="5">
        <v>0.63546666666666696</v>
      </c>
      <c r="E200">
        <v>9.0800000000000006E-2</v>
      </c>
      <c r="F200" s="5">
        <f t="shared" si="6"/>
        <v>0.54466666666666697</v>
      </c>
      <c r="G200" s="12">
        <v>1</v>
      </c>
      <c r="H200">
        <f t="shared" si="7"/>
        <v>5.4885123333333361</v>
      </c>
    </row>
    <row r="201" spans="1:8">
      <c r="A201" s="1" t="s">
        <v>36</v>
      </c>
      <c r="B201" s="1" t="s">
        <v>40</v>
      </c>
      <c r="C201" s="2" t="s">
        <v>6</v>
      </c>
      <c r="D201" s="5">
        <v>0.40586666666666699</v>
      </c>
      <c r="E201">
        <v>9.0800000000000006E-2</v>
      </c>
      <c r="F201" s="5">
        <f t="shared" si="6"/>
        <v>0.31506666666666699</v>
      </c>
      <c r="G201" s="12">
        <v>1</v>
      </c>
      <c r="H201">
        <f t="shared" si="7"/>
        <v>3.1599091333333367</v>
      </c>
    </row>
    <row r="202" spans="1:8">
      <c r="A202" s="1" t="s">
        <v>36</v>
      </c>
      <c r="B202" s="1" t="s">
        <v>40</v>
      </c>
      <c r="C202" s="2" t="s">
        <v>7</v>
      </c>
      <c r="D202" s="5">
        <v>0.52366666666666695</v>
      </c>
      <c r="E202">
        <v>9.0800000000000006E-2</v>
      </c>
      <c r="F202" s="5">
        <f t="shared" si="6"/>
        <v>0.43286666666666695</v>
      </c>
      <c r="G202" s="12">
        <v>1</v>
      </c>
      <c r="H202">
        <f t="shared" si="7"/>
        <v>4.3546367333333365</v>
      </c>
    </row>
    <row r="203" spans="1:8">
      <c r="A203" s="1" t="s">
        <v>36</v>
      </c>
      <c r="B203" s="1" t="s">
        <v>40</v>
      </c>
      <c r="C203" s="2" t="s">
        <v>8</v>
      </c>
      <c r="D203" s="5">
        <v>0.60946666666666705</v>
      </c>
      <c r="E203">
        <v>9.0800000000000006E-2</v>
      </c>
      <c r="F203" s="5">
        <f t="shared" si="6"/>
        <v>0.51866666666666705</v>
      </c>
      <c r="G203" s="12">
        <v>1</v>
      </c>
      <c r="H203">
        <f t="shared" si="7"/>
        <v>5.2248203333333372</v>
      </c>
    </row>
    <row r="204" spans="1:8">
      <c r="A204" s="1" t="s">
        <v>36</v>
      </c>
      <c r="B204" s="1" t="s">
        <v>40</v>
      </c>
      <c r="C204" s="2" t="s">
        <v>10</v>
      </c>
      <c r="D204" s="5">
        <v>0.420866666666667</v>
      </c>
      <c r="E204">
        <v>9.0800000000000006E-2</v>
      </c>
      <c r="F204" s="5">
        <f t="shared" si="6"/>
        <v>0.33006666666666701</v>
      </c>
      <c r="G204" s="12">
        <v>1</v>
      </c>
      <c r="H204">
        <f t="shared" si="7"/>
        <v>3.3120391333333363</v>
      </c>
    </row>
    <row r="205" spans="1:8">
      <c r="A205" s="1" t="s">
        <v>36</v>
      </c>
      <c r="B205" s="1" t="s">
        <v>40</v>
      </c>
      <c r="C205" s="2" t="s">
        <v>11</v>
      </c>
      <c r="D205" s="5">
        <v>0.50216666666666698</v>
      </c>
      <c r="E205">
        <v>9.0800000000000006E-2</v>
      </c>
      <c r="F205" s="5">
        <f t="shared" si="6"/>
        <v>0.41136666666666699</v>
      </c>
      <c r="G205" s="12">
        <v>1</v>
      </c>
      <c r="H205">
        <f t="shared" si="7"/>
        <v>4.1365837333333362</v>
      </c>
    </row>
    <row r="206" spans="1:8">
      <c r="A206" s="1" t="s">
        <v>36</v>
      </c>
      <c r="B206" s="1" t="s">
        <v>40</v>
      </c>
      <c r="C206" s="2" t="s">
        <v>12</v>
      </c>
      <c r="D206" s="5">
        <v>0.68796666666666695</v>
      </c>
      <c r="E206">
        <v>9.0800000000000006E-2</v>
      </c>
      <c r="F206" s="5">
        <f t="shared" si="6"/>
        <v>0.59716666666666696</v>
      </c>
      <c r="G206" s="12">
        <v>1</v>
      </c>
      <c r="H206">
        <f t="shared" si="7"/>
        <v>6.0209673333333367</v>
      </c>
    </row>
    <row r="207" spans="1:8">
      <c r="A207" s="1" t="s">
        <v>36</v>
      </c>
      <c r="B207" s="1" t="s">
        <v>40</v>
      </c>
      <c r="C207" s="2" t="s">
        <v>14</v>
      </c>
      <c r="D207" s="5">
        <v>0.42546666666666699</v>
      </c>
      <c r="E207">
        <v>9.0800000000000006E-2</v>
      </c>
      <c r="F207" s="5">
        <f t="shared" si="6"/>
        <v>0.334666666666667</v>
      </c>
      <c r="G207" s="12">
        <v>1</v>
      </c>
      <c r="H207">
        <f t="shared" si="7"/>
        <v>3.3586923333333365</v>
      </c>
    </row>
    <row r="208" spans="1:8">
      <c r="A208" s="1" t="s">
        <v>36</v>
      </c>
      <c r="B208" s="1" t="s">
        <v>40</v>
      </c>
      <c r="C208" s="2" t="s">
        <v>15</v>
      </c>
      <c r="D208" s="5">
        <v>0.54646666666666699</v>
      </c>
      <c r="E208">
        <v>9.0800000000000006E-2</v>
      </c>
      <c r="F208" s="5">
        <f t="shared" si="6"/>
        <v>0.455666666666667</v>
      </c>
      <c r="G208" s="12">
        <v>1</v>
      </c>
      <c r="H208">
        <f t="shared" si="7"/>
        <v>4.5858743333333365</v>
      </c>
    </row>
    <row r="209" spans="1:8">
      <c r="A209" s="1" t="s">
        <v>36</v>
      </c>
      <c r="B209" s="1" t="s">
        <v>40</v>
      </c>
      <c r="C209" s="2" t="s">
        <v>16</v>
      </c>
      <c r="D209" s="5">
        <v>0.69106666666666705</v>
      </c>
      <c r="E209">
        <v>9.0800000000000006E-2</v>
      </c>
      <c r="F209" s="5">
        <f t="shared" si="6"/>
        <v>0.60026666666666706</v>
      </c>
      <c r="G209" s="12">
        <v>1</v>
      </c>
      <c r="H209">
        <f t="shared" si="7"/>
        <v>6.052407533333338</v>
      </c>
    </row>
    <row r="210" spans="1:8">
      <c r="A210" s="1" t="s">
        <v>36</v>
      </c>
      <c r="B210" s="1" t="s">
        <v>40</v>
      </c>
      <c r="C210" s="2" t="s">
        <v>18</v>
      </c>
      <c r="D210" s="5">
        <v>0.53646666666666698</v>
      </c>
      <c r="E210">
        <v>9.0800000000000006E-2</v>
      </c>
      <c r="F210" s="5">
        <f t="shared" si="6"/>
        <v>0.44566666666666699</v>
      </c>
      <c r="G210" s="12">
        <v>1</v>
      </c>
      <c r="H210">
        <f t="shared" si="7"/>
        <v>4.4844543333333364</v>
      </c>
    </row>
    <row r="211" spans="1:8">
      <c r="A211" s="1" t="s">
        <v>36</v>
      </c>
      <c r="B211" s="1" t="s">
        <v>40</v>
      </c>
      <c r="C211" s="2" t="s">
        <v>19</v>
      </c>
      <c r="D211" s="5">
        <v>0.61276666666666701</v>
      </c>
      <c r="E211">
        <v>9.0800000000000006E-2</v>
      </c>
      <c r="F211" s="5">
        <f t="shared" si="6"/>
        <v>0.52196666666666702</v>
      </c>
      <c r="G211" s="12">
        <v>1</v>
      </c>
      <c r="H211">
        <f t="shared" si="7"/>
        <v>5.2582889333333371</v>
      </c>
    </row>
    <row r="212" spans="1:8">
      <c r="A212" s="1" t="s">
        <v>36</v>
      </c>
      <c r="B212" s="1" t="s">
        <v>40</v>
      </c>
      <c r="C212" s="2" t="s">
        <v>20</v>
      </c>
      <c r="D212" s="5">
        <v>0.56436666666666702</v>
      </c>
      <c r="E212">
        <v>9.0800000000000006E-2</v>
      </c>
      <c r="F212" s="5">
        <f t="shared" si="6"/>
        <v>0.47356666666666702</v>
      </c>
      <c r="G212" s="12">
        <v>1</v>
      </c>
      <c r="H212">
        <f t="shared" si="7"/>
        <v>4.7674161333333371</v>
      </c>
    </row>
    <row r="213" spans="1:8">
      <c r="A213" s="1" t="s">
        <v>36</v>
      </c>
      <c r="B213" s="1" t="s">
        <v>40</v>
      </c>
      <c r="C213" s="2" t="s">
        <v>22</v>
      </c>
      <c r="D213" s="5">
        <v>0.65556666666666696</v>
      </c>
      <c r="E213">
        <v>9.0800000000000006E-2</v>
      </c>
      <c r="F213" s="5">
        <f t="shared" si="6"/>
        <v>0.56476666666666697</v>
      </c>
      <c r="G213" s="12">
        <v>1</v>
      </c>
      <c r="H213">
        <f t="shared" si="7"/>
        <v>5.6923665333333373</v>
      </c>
    </row>
    <row r="214" spans="1:8">
      <c r="A214" s="1" t="s">
        <v>36</v>
      </c>
      <c r="B214" s="1" t="s">
        <v>40</v>
      </c>
      <c r="C214" s="2" t="s">
        <v>23</v>
      </c>
      <c r="D214" s="5">
        <v>0.56266666666666698</v>
      </c>
      <c r="E214">
        <v>9.0800000000000006E-2</v>
      </c>
      <c r="F214" s="5">
        <f t="shared" si="6"/>
        <v>0.47186666666666699</v>
      </c>
      <c r="G214" s="12">
        <v>1</v>
      </c>
      <c r="H214">
        <f t="shared" si="7"/>
        <v>4.7501747333333366</v>
      </c>
    </row>
    <row r="215" spans="1:8">
      <c r="A215" s="1" t="s">
        <v>36</v>
      </c>
      <c r="B215" s="1" t="s">
        <v>40</v>
      </c>
      <c r="C215" s="2" t="s">
        <v>24</v>
      </c>
      <c r="D215" s="5">
        <v>0.52576666666666705</v>
      </c>
      <c r="E215">
        <v>9.0800000000000006E-2</v>
      </c>
      <c r="F215" s="5">
        <f t="shared" si="6"/>
        <v>0.43496666666666706</v>
      </c>
      <c r="G215" s="12">
        <v>1</v>
      </c>
      <c r="H215">
        <f t="shared" si="7"/>
        <v>4.3759349333333368</v>
      </c>
    </row>
    <row r="216" spans="1:8">
      <c r="A216" s="1" t="s">
        <v>36</v>
      </c>
      <c r="B216" s="1" t="s">
        <v>40</v>
      </c>
      <c r="C216" s="2" t="s">
        <v>26</v>
      </c>
      <c r="D216" s="5">
        <v>0.594766666666667</v>
      </c>
      <c r="E216">
        <v>9.0800000000000006E-2</v>
      </c>
      <c r="F216" s="5">
        <f t="shared" si="6"/>
        <v>0.50396666666666701</v>
      </c>
      <c r="G216" s="12">
        <v>1</v>
      </c>
      <c r="H216">
        <f t="shared" si="7"/>
        <v>5.0757329333333363</v>
      </c>
    </row>
    <row r="217" spans="1:8">
      <c r="A217" s="1" t="s">
        <v>36</v>
      </c>
      <c r="B217" s="1" t="s">
        <v>40</v>
      </c>
      <c r="C217" s="2" t="s">
        <v>27</v>
      </c>
      <c r="D217" s="5">
        <v>0.64706666666666701</v>
      </c>
      <c r="E217">
        <v>9.0800000000000006E-2</v>
      </c>
      <c r="F217" s="5">
        <f t="shared" si="6"/>
        <v>0.55626666666666702</v>
      </c>
      <c r="G217" s="12">
        <v>1</v>
      </c>
      <c r="H217">
        <f t="shared" si="7"/>
        <v>5.6061595333333365</v>
      </c>
    </row>
    <row r="218" spans="1:8">
      <c r="A218" s="1" t="s">
        <v>36</v>
      </c>
      <c r="B218" s="1" t="s">
        <v>41</v>
      </c>
      <c r="C218" s="2" t="s">
        <v>4</v>
      </c>
      <c r="D218" s="5">
        <v>0.42776666666666702</v>
      </c>
      <c r="E218">
        <v>9.0800000000000006E-2</v>
      </c>
      <c r="F218" s="5">
        <f t="shared" si="6"/>
        <v>0.33696666666666703</v>
      </c>
      <c r="G218" s="12">
        <v>1</v>
      </c>
      <c r="H218">
        <f t="shared" si="7"/>
        <v>3.3820189333333364</v>
      </c>
    </row>
    <row r="219" spans="1:8">
      <c r="A219" s="1" t="s">
        <v>36</v>
      </c>
      <c r="B219" s="1" t="s">
        <v>41</v>
      </c>
      <c r="C219" s="2" t="s">
        <v>6</v>
      </c>
      <c r="D219" s="5">
        <v>0.47946666666666699</v>
      </c>
      <c r="E219">
        <v>9.0800000000000006E-2</v>
      </c>
      <c r="F219" s="5">
        <f t="shared" si="6"/>
        <v>0.38866666666666699</v>
      </c>
      <c r="G219" s="12">
        <v>1</v>
      </c>
      <c r="H219">
        <f t="shared" si="7"/>
        <v>3.9063603333333363</v>
      </c>
    </row>
    <row r="220" spans="1:8">
      <c r="A220" s="1" t="s">
        <v>36</v>
      </c>
      <c r="B220" s="1" t="s">
        <v>41</v>
      </c>
      <c r="C220" s="2" t="s">
        <v>7</v>
      </c>
      <c r="D220" s="5">
        <v>0.648166666666667</v>
      </c>
      <c r="E220">
        <v>9.0800000000000006E-2</v>
      </c>
      <c r="F220" s="5">
        <f t="shared" si="6"/>
        <v>0.55736666666666701</v>
      </c>
      <c r="G220" s="12">
        <v>1</v>
      </c>
      <c r="H220">
        <f t="shared" si="7"/>
        <v>5.6173157333333368</v>
      </c>
    </row>
    <row r="221" spans="1:8">
      <c r="A221" s="1" t="s">
        <v>36</v>
      </c>
      <c r="B221" s="1" t="s">
        <v>41</v>
      </c>
      <c r="C221" s="2" t="s">
        <v>8</v>
      </c>
      <c r="D221" s="5">
        <v>0.518166666666667</v>
      </c>
      <c r="E221">
        <v>9.0800000000000006E-2</v>
      </c>
      <c r="F221" s="5">
        <f t="shared" si="6"/>
        <v>0.42736666666666701</v>
      </c>
      <c r="G221" s="12">
        <v>1</v>
      </c>
      <c r="H221">
        <f t="shared" si="7"/>
        <v>4.2988557333333359</v>
      </c>
    </row>
    <row r="222" spans="1:8">
      <c r="A222" s="1" t="s">
        <v>36</v>
      </c>
      <c r="B222" s="1" t="s">
        <v>41</v>
      </c>
      <c r="C222" s="2" t="s">
        <v>10</v>
      </c>
      <c r="D222" s="5">
        <v>0.63516666666666699</v>
      </c>
      <c r="E222">
        <v>9.0800000000000006E-2</v>
      </c>
      <c r="F222" s="5">
        <f t="shared" si="6"/>
        <v>0.544366666666667</v>
      </c>
      <c r="G222" s="12">
        <v>1</v>
      </c>
      <c r="H222">
        <f t="shared" si="7"/>
        <v>5.4854697333333364</v>
      </c>
    </row>
    <row r="223" spans="1:8">
      <c r="A223" s="1" t="s">
        <v>36</v>
      </c>
      <c r="B223" s="1" t="s">
        <v>41</v>
      </c>
      <c r="C223" s="2" t="s">
        <v>11</v>
      </c>
      <c r="D223" s="5">
        <v>0.73096666666666699</v>
      </c>
      <c r="E223">
        <v>9.0800000000000006E-2</v>
      </c>
      <c r="F223" s="5">
        <f t="shared" si="6"/>
        <v>0.64016666666666699</v>
      </c>
      <c r="G223" s="12">
        <v>1</v>
      </c>
      <c r="H223">
        <f t="shared" si="7"/>
        <v>6.4570733333333372</v>
      </c>
    </row>
    <row r="224" spans="1:8">
      <c r="A224" s="1" t="s">
        <v>36</v>
      </c>
      <c r="B224" s="1" t="s">
        <v>41</v>
      </c>
      <c r="C224" s="2" t="s">
        <v>12</v>
      </c>
      <c r="D224" s="5">
        <v>0.32666666666666699</v>
      </c>
      <c r="E224">
        <v>9.0800000000000006E-2</v>
      </c>
      <c r="F224" s="5">
        <f t="shared" si="6"/>
        <v>0.235866666666667</v>
      </c>
      <c r="G224" s="12">
        <v>1</v>
      </c>
      <c r="H224">
        <f t="shared" si="7"/>
        <v>2.3566627333333368</v>
      </c>
    </row>
    <row r="225" spans="1:8">
      <c r="A225" s="1" t="s">
        <v>36</v>
      </c>
      <c r="B225" s="1" t="s">
        <v>41</v>
      </c>
      <c r="C225" s="2" t="s">
        <v>14</v>
      </c>
      <c r="D225" s="5">
        <v>0.57106666666666706</v>
      </c>
      <c r="E225">
        <v>9.0800000000000006E-2</v>
      </c>
      <c r="F225" s="5">
        <f t="shared" si="6"/>
        <v>0.48026666666666706</v>
      </c>
      <c r="G225" s="12">
        <v>1</v>
      </c>
      <c r="H225">
        <f t="shared" si="7"/>
        <v>4.8353675333333372</v>
      </c>
    </row>
    <row r="226" spans="1:8">
      <c r="A226" s="1" t="s">
        <v>36</v>
      </c>
      <c r="B226" s="1" t="s">
        <v>41</v>
      </c>
      <c r="C226" s="2" t="s">
        <v>15</v>
      </c>
      <c r="D226" s="5">
        <v>0.62156666666666704</v>
      </c>
      <c r="E226">
        <v>9.0800000000000006E-2</v>
      </c>
      <c r="F226" s="5">
        <f t="shared" si="6"/>
        <v>0.53076666666666705</v>
      </c>
      <c r="G226" s="12">
        <v>1</v>
      </c>
      <c r="H226">
        <f t="shared" si="7"/>
        <v>5.3475385333333376</v>
      </c>
    </row>
    <row r="227" spans="1:8">
      <c r="A227" s="1" t="s">
        <v>36</v>
      </c>
      <c r="B227" s="1" t="s">
        <v>41</v>
      </c>
      <c r="C227" s="2" t="s">
        <v>16</v>
      </c>
      <c r="D227" s="5">
        <v>0.52246666666666697</v>
      </c>
      <c r="E227">
        <v>9.0800000000000006E-2</v>
      </c>
      <c r="F227" s="5">
        <f t="shared" si="6"/>
        <v>0.43166666666666698</v>
      </c>
      <c r="G227" s="12">
        <v>1</v>
      </c>
      <c r="H227">
        <f t="shared" si="7"/>
        <v>4.342466333333336</v>
      </c>
    </row>
    <row r="228" spans="1:8">
      <c r="A228" s="1" t="s">
        <v>36</v>
      </c>
      <c r="B228" s="1" t="s">
        <v>41</v>
      </c>
      <c r="C228" s="2" t="s">
        <v>18</v>
      </c>
      <c r="D228" s="5">
        <v>0.56626666666666703</v>
      </c>
      <c r="E228">
        <v>9.0800000000000006E-2</v>
      </c>
      <c r="F228" s="5">
        <f t="shared" si="6"/>
        <v>0.47546666666666704</v>
      </c>
      <c r="G228" s="12">
        <v>1</v>
      </c>
      <c r="H228">
        <f t="shared" si="7"/>
        <v>4.7866859333333371</v>
      </c>
    </row>
    <row r="229" spans="1:8">
      <c r="A229" s="1" t="s">
        <v>36</v>
      </c>
      <c r="B229" s="1" t="s">
        <v>41</v>
      </c>
      <c r="C229" s="2" t="s">
        <v>19</v>
      </c>
      <c r="D229" s="5">
        <v>0.860866666666667</v>
      </c>
      <c r="E229">
        <v>9.0800000000000006E-2</v>
      </c>
      <c r="F229" s="5">
        <f t="shared" si="6"/>
        <v>0.77006666666666701</v>
      </c>
      <c r="G229" s="12">
        <v>1</v>
      </c>
      <c r="H229">
        <f t="shared" si="7"/>
        <v>7.774519133333337</v>
      </c>
    </row>
    <row r="230" spans="1:8">
      <c r="A230" s="1" t="s">
        <v>36</v>
      </c>
      <c r="B230" s="1" t="s">
        <v>41</v>
      </c>
      <c r="C230" s="2" t="s">
        <v>20</v>
      </c>
      <c r="D230" s="5">
        <v>0.62776666666666703</v>
      </c>
      <c r="E230">
        <v>9.0800000000000006E-2</v>
      </c>
      <c r="F230" s="5">
        <f t="shared" si="6"/>
        <v>0.53696666666666704</v>
      </c>
      <c r="G230" s="12">
        <v>1</v>
      </c>
      <c r="H230">
        <f t="shared" si="7"/>
        <v>5.4104189333333368</v>
      </c>
    </row>
    <row r="231" spans="1:8">
      <c r="A231" s="1" t="s">
        <v>36</v>
      </c>
      <c r="B231" s="1" t="s">
        <v>41</v>
      </c>
      <c r="C231" s="2" t="s">
        <v>22</v>
      </c>
      <c r="D231" s="5">
        <v>0.51346666666666696</v>
      </c>
      <c r="E231">
        <v>9.0800000000000006E-2</v>
      </c>
      <c r="F231" s="5">
        <f t="shared" si="6"/>
        <v>0.42266666666666697</v>
      </c>
      <c r="G231" s="12">
        <v>1</v>
      </c>
      <c r="H231">
        <f t="shared" si="7"/>
        <v>4.251188333333336</v>
      </c>
    </row>
    <row r="232" spans="1:8">
      <c r="A232" s="1" t="s">
        <v>36</v>
      </c>
      <c r="B232" s="1" t="s">
        <v>41</v>
      </c>
      <c r="C232" s="2" t="s">
        <v>23</v>
      </c>
      <c r="D232" s="5">
        <v>0.247466666666667</v>
      </c>
      <c r="E232">
        <v>9.0800000000000006E-2</v>
      </c>
      <c r="F232" s="5">
        <f t="shared" si="6"/>
        <v>0.15666666666666701</v>
      </c>
      <c r="G232" s="12">
        <v>1</v>
      </c>
      <c r="H232">
        <f t="shared" si="7"/>
        <v>1.5534163333333366</v>
      </c>
    </row>
    <row r="233" spans="1:8">
      <c r="A233" s="1" t="s">
        <v>36</v>
      </c>
      <c r="B233" s="1" t="s">
        <v>41</v>
      </c>
      <c r="C233" s="2" t="s">
        <v>24</v>
      </c>
      <c r="D233" s="5">
        <v>0.54356666666666698</v>
      </c>
      <c r="E233">
        <v>9.0800000000000006E-2</v>
      </c>
      <c r="F233" s="5">
        <f t="shared" si="6"/>
        <v>0.45276666666666698</v>
      </c>
      <c r="G233" s="12">
        <v>1</v>
      </c>
      <c r="H233">
        <f t="shared" si="7"/>
        <v>4.5564625333333364</v>
      </c>
    </row>
    <row r="234" spans="1:8">
      <c r="A234" s="1" t="s">
        <v>36</v>
      </c>
      <c r="B234" s="1" t="s">
        <v>41</v>
      </c>
      <c r="C234" s="2" t="s">
        <v>26</v>
      </c>
      <c r="D234" s="5">
        <v>0.69546666666666701</v>
      </c>
      <c r="E234">
        <v>9.0800000000000006E-2</v>
      </c>
      <c r="F234" s="5">
        <f t="shared" si="6"/>
        <v>0.60466666666666702</v>
      </c>
      <c r="G234" s="12">
        <v>1</v>
      </c>
      <c r="H234">
        <f t="shared" si="7"/>
        <v>6.0970323333333374</v>
      </c>
    </row>
    <row r="235" spans="1:8">
      <c r="A235" s="1" t="s">
        <v>36</v>
      </c>
      <c r="B235" s="1" t="s">
        <v>41</v>
      </c>
      <c r="C235" s="2" t="s">
        <v>27</v>
      </c>
      <c r="D235" s="5">
        <v>0.59646666666666703</v>
      </c>
      <c r="E235">
        <v>9.0800000000000006E-2</v>
      </c>
      <c r="F235" s="5">
        <f t="shared" si="6"/>
        <v>0.50566666666666704</v>
      </c>
      <c r="G235" s="12">
        <v>1</v>
      </c>
      <c r="H235">
        <f t="shared" si="7"/>
        <v>5.0929743333333377</v>
      </c>
    </row>
    <row r="236" spans="1:8">
      <c r="A236" s="1" t="s">
        <v>36</v>
      </c>
      <c r="B236" s="1" t="s">
        <v>42</v>
      </c>
      <c r="C236" s="2" t="s">
        <v>4</v>
      </c>
      <c r="D236" s="5">
        <v>0.56689999999999996</v>
      </c>
      <c r="E236">
        <v>9.0800000000000006E-2</v>
      </c>
      <c r="F236" s="5">
        <f t="shared" si="6"/>
        <v>0.47609999999999997</v>
      </c>
      <c r="G236" s="12">
        <v>1</v>
      </c>
      <c r="H236">
        <f t="shared" si="7"/>
        <v>4.7931091999999991</v>
      </c>
    </row>
    <row r="237" spans="1:8">
      <c r="A237" s="1" t="s">
        <v>36</v>
      </c>
      <c r="B237" s="1" t="s">
        <v>42</v>
      </c>
      <c r="C237" s="2" t="s">
        <v>6</v>
      </c>
      <c r="D237" s="5">
        <v>0.36</v>
      </c>
      <c r="E237">
        <v>9.0800000000000006E-2</v>
      </c>
      <c r="F237" s="5">
        <f t="shared" si="6"/>
        <v>0.26919999999999999</v>
      </c>
      <c r="G237" s="12">
        <v>1</v>
      </c>
      <c r="H237">
        <f t="shared" si="7"/>
        <v>2.6947293999999999</v>
      </c>
    </row>
    <row r="238" spans="1:8">
      <c r="A238" s="1" t="s">
        <v>36</v>
      </c>
      <c r="B238" s="1" t="s">
        <v>42</v>
      </c>
      <c r="C238" s="2" t="s">
        <v>7</v>
      </c>
      <c r="D238" s="5">
        <v>0.58230000000000004</v>
      </c>
      <c r="E238">
        <v>9.0800000000000006E-2</v>
      </c>
      <c r="F238" s="5">
        <f t="shared" si="6"/>
        <v>0.49150000000000005</v>
      </c>
      <c r="G238" s="12">
        <v>1</v>
      </c>
      <c r="H238">
        <f t="shared" si="7"/>
        <v>4.9492960000000004</v>
      </c>
    </row>
    <row r="239" spans="1:8">
      <c r="A239" s="1" t="s">
        <v>36</v>
      </c>
      <c r="B239" s="1" t="s">
        <v>42</v>
      </c>
      <c r="C239" s="2" t="s">
        <v>8</v>
      </c>
      <c r="D239" s="5">
        <v>0.69799999999999995</v>
      </c>
      <c r="E239">
        <v>9.0800000000000006E-2</v>
      </c>
      <c r="F239" s="5">
        <f t="shared" si="6"/>
        <v>0.60719999999999996</v>
      </c>
      <c r="G239" s="12">
        <v>1</v>
      </c>
      <c r="H239">
        <f t="shared" si="7"/>
        <v>6.1227253999999993</v>
      </c>
    </row>
    <row r="240" spans="1:8">
      <c r="A240" s="1" t="s">
        <v>36</v>
      </c>
      <c r="B240" s="1" t="s">
        <v>42</v>
      </c>
      <c r="C240" s="2" t="s">
        <v>10</v>
      </c>
      <c r="D240" s="5">
        <v>0.78920000000000001</v>
      </c>
      <c r="E240">
        <v>9.0800000000000006E-2</v>
      </c>
      <c r="F240" s="5">
        <f t="shared" si="6"/>
        <v>0.69840000000000002</v>
      </c>
      <c r="G240" s="12">
        <v>1</v>
      </c>
      <c r="H240">
        <f t="shared" si="7"/>
        <v>7.0476758000000004</v>
      </c>
    </row>
    <row r="241" spans="1:8">
      <c r="A241" s="1" t="s">
        <v>36</v>
      </c>
      <c r="B241" s="1" t="s">
        <v>42</v>
      </c>
      <c r="C241" s="2" t="s">
        <v>11</v>
      </c>
      <c r="D241" s="5">
        <v>0.65349999999999997</v>
      </c>
      <c r="E241">
        <v>9.0800000000000006E-2</v>
      </c>
      <c r="F241" s="5">
        <f t="shared" si="6"/>
        <v>0.56269999999999998</v>
      </c>
      <c r="G241" s="12">
        <v>1</v>
      </c>
      <c r="H241">
        <f t="shared" si="7"/>
        <v>5.6714063999999995</v>
      </c>
    </row>
    <row r="242" spans="1:8">
      <c r="A242" s="1" t="s">
        <v>36</v>
      </c>
      <c r="B242" s="1" t="s">
        <v>42</v>
      </c>
      <c r="C242" s="2" t="s">
        <v>12</v>
      </c>
      <c r="D242" s="5">
        <v>0.4667</v>
      </c>
      <c r="E242">
        <v>9.0800000000000006E-2</v>
      </c>
      <c r="F242" s="5">
        <f t="shared" si="6"/>
        <v>0.37590000000000001</v>
      </c>
      <c r="G242" s="12">
        <v>1</v>
      </c>
      <c r="H242">
        <f t="shared" si="7"/>
        <v>3.7768807999999998</v>
      </c>
    </row>
    <row r="243" spans="1:8">
      <c r="A243" s="1" t="s">
        <v>36</v>
      </c>
      <c r="B243" s="1" t="s">
        <v>42</v>
      </c>
      <c r="C243" s="2" t="s">
        <v>14</v>
      </c>
      <c r="D243" s="5">
        <v>0.70589999999999997</v>
      </c>
      <c r="E243">
        <v>9.0800000000000006E-2</v>
      </c>
      <c r="F243" s="5">
        <f t="shared" si="6"/>
        <v>0.61509999999999998</v>
      </c>
      <c r="G243" s="12">
        <v>1</v>
      </c>
      <c r="H243">
        <f t="shared" si="7"/>
        <v>6.2028471999999999</v>
      </c>
    </row>
    <row r="244" spans="1:8">
      <c r="A244" s="1" t="s">
        <v>36</v>
      </c>
      <c r="B244" s="1" t="s">
        <v>42</v>
      </c>
      <c r="C244" s="2" t="s">
        <v>15</v>
      </c>
      <c r="D244" s="5">
        <v>0.36549999999999999</v>
      </c>
      <c r="E244">
        <v>9.0800000000000006E-2</v>
      </c>
      <c r="F244" s="5">
        <f t="shared" si="6"/>
        <v>0.2747</v>
      </c>
      <c r="G244" s="12">
        <v>1</v>
      </c>
      <c r="H244">
        <f t="shared" si="7"/>
        <v>2.7505103999999996</v>
      </c>
    </row>
    <row r="245" spans="1:8">
      <c r="A245" s="1" t="s">
        <v>36</v>
      </c>
      <c r="B245" s="1" t="s">
        <v>42</v>
      </c>
      <c r="C245" s="2" t="s">
        <v>16</v>
      </c>
      <c r="D245" s="5">
        <v>0.67220000000000002</v>
      </c>
      <c r="E245">
        <v>9.0800000000000006E-2</v>
      </c>
      <c r="F245" s="5">
        <f t="shared" si="6"/>
        <v>0.58140000000000003</v>
      </c>
      <c r="G245" s="12">
        <v>1</v>
      </c>
      <c r="H245">
        <f t="shared" si="7"/>
        <v>5.8610617999999999</v>
      </c>
    </row>
    <row r="246" spans="1:8">
      <c r="A246" s="1" t="s">
        <v>36</v>
      </c>
      <c r="B246" s="1" t="s">
        <v>42</v>
      </c>
      <c r="C246" s="2" t="s">
        <v>18</v>
      </c>
      <c r="D246" s="5">
        <v>0.60160000000000002</v>
      </c>
      <c r="E246">
        <v>9.0800000000000006E-2</v>
      </c>
      <c r="F246" s="5">
        <f t="shared" si="6"/>
        <v>0.51080000000000003</v>
      </c>
      <c r="G246" s="12">
        <v>1</v>
      </c>
      <c r="H246">
        <f t="shared" si="7"/>
        <v>5.1450366000000001</v>
      </c>
    </row>
    <row r="247" spans="1:8">
      <c r="A247" s="1" t="s">
        <v>36</v>
      </c>
      <c r="B247" s="1" t="s">
        <v>42</v>
      </c>
      <c r="C247" s="2" t="s">
        <v>19</v>
      </c>
      <c r="D247" s="5">
        <v>0.77490000000000003</v>
      </c>
      <c r="E247">
        <v>9.0800000000000006E-2</v>
      </c>
      <c r="F247" s="5">
        <f t="shared" si="6"/>
        <v>0.68410000000000004</v>
      </c>
      <c r="G247" s="12">
        <v>1</v>
      </c>
      <c r="H247">
        <f t="shared" si="7"/>
        <v>6.9026452000000003</v>
      </c>
    </row>
    <row r="248" spans="1:8">
      <c r="A248" s="1" t="s">
        <v>36</v>
      </c>
      <c r="B248" s="1" t="s">
        <v>42</v>
      </c>
      <c r="C248" s="2" t="s">
        <v>20</v>
      </c>
      <c r="D248" s="5">
        <v>0.52480000000000004</v>
      </c>
      <c r="E248">
        <v>9.0800000000000006E-2</v>
      </c>
      <c r="F248" s="5">
        <f t="shared" si="6"/>
        <v>0.43400000000000005</v>
      </c>
      <c r="G248" s="12">
        <v>1</v>
      </c>
      <c r="H248">
        <f t="shared" si="7"/>
        <v>4.3661310000000002</v>
      </c>
    </row>
    <row r="249" spans="1:8">
      <c r="A249" s="1" t="s">
        <v>36</v>
      </c>
      <c r="B249" s="1" t="s">
        <v>42</v>
      </c>
      <c r="C249" s="2" t="s">
        <v>22</v>
      </c>
      <c r="D249" s="5">
        <v>0.40229999999999999</v>
      </c>
      <c r="E249">
        <v>9.0800000000000006E-2</v>
      </c>
      <c r="F249" s="5">
        <f t="shared" si="6"/>
        <v>0.3115</v>
      </c>
      <c r="G249" s="12">
        <v>1</v>
      </c>
      <c r="H249">
        <f t="shared" si="7"/>
        <v>3.1237359999999996</v>
      </c>
    </row>
    <row r="250" spans="1:8">
      <c r="A250" s="1" t="s">
        <v>36</v>
      </c>
      <c r="B250" s="1" t="s">
        <v>42</v>
      </c>
      <c r="C250" s="2" t="s">
        <v>23</v>
      </c>
      <c r="D250" s="5">
        <v>0.73560000000000003</v>
      </c>
      <c r="E250">
        <v>9.0800000000000006E-2</v>
      </c>
      <c r="F250" s="5">
        <f t="shared" si="6"/>
        <v>0.64480000000000004</v>
      </c>
      <c r="G250" s="12">
        <v>1</v>
      </c>
      <c r="H250">
        <f t="shared" si="7"/>
        <v>6.5040646000000013</v>
      </c>
    </row>
    <row r="251" spans="1:8">
      <c r="A251" s="1" t="s">
        <v>36</v>
      </c>
      <c r="B251" s="1" t="s">
        <v>42</v>
      </c>
      <c r="C251" s="2" t="s">
        <v>24</v>
      </c>
      <c r="D251" s="5">
        <v>0.4531</v>
      </c>
      <c r="E251">
        <v>9.0800000000000006E-2</v>
      </c>
      <c r="F251" s="5">
        <f t="shared" si="6"/>
        <v>0.36230000000000001</v>
      </c>
      <c r="G251" s="12">
        <v>1</v>
      </c>
      <c r="H251">
        <f t="shared" si="7"/>
        <v>3.6389495999999997</v>
      </c>
    </row>
    <row r="252" spans="1:8">
      <c r="A252" s="1" t="s">
        <v>36</v>
      </c>
      <c r="B252" s="1" t="s">
        <v>42</v>
      </c>
      <c r="C252" s="2" t="s">
        <v>26</v>
      </c>
      <c r="D252" s="5">
        <v>1.0044999999999999</v>
      </c>
      <c r="E252">
        <v>9.0800000000000006E-2</v>
      </c>
      <c r="F252" s="5">
        <f t="shared" si="6"/>
        <v>0.91369999999999996</v>
      </c>
      <c r="G252" s="12">
        <v>1</v>
      </c>
      <c r="H252">
        <f t="shared" si="7"/>
        <v>9.2312483999999984</v>
      </c>
    </row>
    <row r="253" spans="1:8">
      <c r="A253" s="1" t="s">
        <v>36</v>
      </c>
      <c r="B253" s="1" t="s">
        <v>42</v>
      </c>
      <c r="C253" s="2" t="s">
        <v>27</v>
      </c>
      <c r="D253" s="5">
        <v>0.80549999999999999</v>
      </c>
      <c r="E253">
        <v>9.0800000000000006E-2</v>
      </c>
      <c r="F253" s="5">
        <f t="shared" si="6"/>
        <v>0.7147</v>
      </c>
      <c r="G253" s="12">
        <v>1</v>
      </c>
      <c r="H253">
        <f t="shared" si="7"/>
        <v>7.2129903999999998</v>
      </c>
    </row>
    <row r="254" spans="1:8">
      <c r="A254" s="1" t="s">
        <v>36</v>
      </c>
      <c r="B254" s="1" t="s">
        <v>43</v>
      </c>
      <c r="C254" s="2" t="s">
        <v>4</v>
      </c>
      <c r="D254" s="5">
        <v>0.59448333333333303</v>
      </c>
      <c r="E254">
        <v>9.0800000000000006E-2</v>
      </c>
      <c r="F254" s="5">
        <f t="shared" si="6"/>
        <v>0.50368333333333304</v>
      </c>
      <c r="G254" s="12">
        <v>1</v>
      </c>
      <c r="H254">
        <f t="shared" si="7"/>
        <v>5.0728593666666644</v>
      </c>
    </row>
    <row r="255" spans="1:8">
      <c r="A255" s="1" t="s">
        <v>36</v>
      </c>
      <c r="B255" s="1" t="s">
        <v>43</v>
      </c>
      <c r="C255" s="2" t="s">
        <v>6</v>
      </c>
      <c r="D255" s="5">
        <v>0.67868333333333297</v>
      </c>
      <c r="E255">
        <v>9.0800000000000006E-2</v>
      </c>
      <c r="F255" s="5">
        <f t="shared" si="6"/>
        <v>0.58788333333333298</v>
      </c>
      <c r="G255" s="12">
        <v>1</v>
      </c>
      <c r="H255">
        <f t="shared" si="7"/>
        <v>5.926815766666663</v>
      </c>
    </row>
    <row r="256" spans="1:8">
      <c r="A256" s="1" t="s">
        <v>36</v>
      </c>
      <c r="B256" s="1" t="s">
        <v>43</v>
      </c>
      <c r="C256" s="2" t="s">
        <v>7</v>
      </c>
      <c r="D256" s="5">
        <v>0.69868333333333299</v>
      </c>
      <c r="E256">
        <v>9.0800000000000006E-2</v>
      </c>
      <c r="F256" s="5">
        <f t="shared" si="6"/>
        <v>0.607883333333333</v>
      </c>
      <c r="G256" s="12">
        <v>1</v>
      </c>
      <c r="H256">
        <f t="shared" si="7"/>
        <v>6.129655766666664</v>
      </c>
    </row>
    <row r="257" spans="1:8">
      <c r="A257" s="1" t="s">
        <v>36</v>
      </c>
      <c r="B257" s="1" t="s">
        <v>43</v>
      </c>
      <c r="C257" s="2" t="s">
        <v>8</v>
      </c>
      <c r="D257" s="5">
        <v>0.85258333333333303</v>
      </c>
      <c r="E257">
        <v>9.0800000000000006E-2</v>
      </c>
      <c r="F257" s="5">
        <f t="shared" si="6"/>
        <v>0.76178333333333303</v>
      </c>
      <c r="G257" s="12">
        <v>1</v>
      </c>
      <c r="H257">
        <f t="shared" si="7"/>
        <v>7.6905095666666643</v>
      </c>
    </row>
    <row r="258" spans="1:8">
      <c r="A258" s="1" t="s">
        <v>36</v>
      </c>
      <c r="B258" s="1" t="s">
        <v>43</v>
      </c>
      <c r="C258" s="2" t="s">
        <v>10</v>
      </c>
      <c r="D258" s="5">
        <v>0.50328333333333297</v>
      </c>
      <c r="E258">
        <v>9.0800000000000006E-2</v>
      </c>
      <c r="F258" s="5">
        <f t="shared" si="6"/>
        <v>0.41248333333333298</v>
      </c>
      <c r="G258" s="12">
        <v>1</v>
      </c>
      <c r="H258">
        <f t="shared" si="7"/>
        <v>4.1479089666666624</v>
      </c>
    </row>
    <row r="259" spans="1:8">
      <c r="A259" s="1" t="s">
        <v>36</v>
      </c>
      <c r="B259" s="1" t="s">
        <v>43</v>
      </c>
      <c r="C259" s="2" t="s">
        <v>11</v>
      </c>
      <c r="D259" s="5">
        <v>0.58008333333333295</v>
      </c>
      <c r="E259">
        <v>9.0800000000000006E-2</v>
      </c>
      <c r="F259" s="5">
        <f t="shared" ref="F259:F289" si="8">D259-E259</f>
        <v>0.48928333333333296</v>
      </c>
      <c r="G259" s="12">
        <v>1</v>
      </c>
      <c r="H259">
        <f t="shared" ref="H259:H289" si="9">0.5071*(F259-0.0035)/0.05*G259</f>
        <v>4.9268145666666623</v>
      </c>
    </row>
    <row r="260" spans="1:8">
      <c r="A260" s="1" t="s">
        <v>36</v>
      </c>
      <c r="B260" s="1" t="s">
        <v>43</v>
      </c>
      <c r="C260" s="2" t="s">
        <v>12</v>
      </c>
      <c r="D260" s="5">
        <v>0.67048333333333299</v>
      </c>
      <c r="E260">
        <v>9.0800000000000006E-2</v>
      </c>
      <c r="F260" s="5">
        <f t="shared" si="8"/>
        <v>0.579683333333333</v>
      </c>
      <c r="G260" s="12">
        <v>1</v>
      </c>
      <c r="H260">
        <f t="shared" si="9"/>
        <v>5.8436513666666627</v>
      </c>
    </row>
    <row r="261" spans="1:8">
      <c r="A261" s="1" t="s">
        <v>36</v>
      </c>
      <c r="B261" s="1" t="s">
        <v>43</v>
      </c>
      <c r="C261" s="2" t="s">
        <v>14</v>
      </c>
      <c r="D261" s="5">
        <v>0.55818333333333303</v>
      </c>
      <c r="E261">
        <v>9.0800000000000006E-2</v>
      </c>
      <c r="F261" s="5">
        <f t="shared" si="8"/>
        <v>0.46738333333333304</v>
      </c>
      <c r="G261" s="12">
        <v>1</v>
      </c>
      <c r="H261">
        <f t="shared" si="9"/>
        <v>4.704704766666663</v>
      </c>
    </row>
    <row r="262" spans="1:8">
      <c r="A262" s="1" t="s">
        <v>36</v>
      </c>
      <c r="B262" s="1" t="s">
        <v>43</v>
      </c>
      <c r="C262" s="2" t="s">
        <v>15</v>
      </c>
      <c r="D262" s="5">
        <v>0.60468333333333302</v>
      </c>
      <c r="E262">
        <v>9.0800000000000006E-2</v>
      </c>
      <c r="F262" s="5">
        <f t="shared" si="8"/>
        <v>0.51388333333333303</v>
      </c>
      <c r="G262" s="12">
        <v>1</v>
      </c>
      <c r="H262">
        <f t="shared" si="9"/>
        <v>5.176307766666663</v>
      </c>
    </row>
    <row r="263" spans="1:8">
      <c r="A263" s="1" t="s">
        <v>36</v>
      </c>
      <c r="B263" s="1" t="s">
        <v>43</v>
      </c>
      <c r="C263" s="2" t="s">
        <v>16</v>
      </c>
      <c r="D263" s="5">
        <v>0.48018333333333302</v>
      </c>
      <c r="E263">
        <v>9.0800000000000006E-2</v>
      </c>
      <c r="F263" s="5">
        <f t="shared" si="8"/>
        <v>0.38938333333333303</v>
      </c>
      <c r="G263" s="12">
        <v>1</v>
      </c>
      <c r="H263">
        <f t="shared" si="9"/>
        <v>3.9136287666666636</v>
      </c>
    </row>
    <row r="264" spans="1:8">
      <c r="A264" s="1" t="s">
        <v>36</v>
      </c>
      <c r="B264" s="1" t="s">
        <v>43</v>
      </c>
      <c r="C264" s="2" t="s">
        <v>18</v>
      </c>
      <c r="D264" s="5">
        <v>0.78768333333333296</v>
      </c>
      <c r="E264">
        <v>9.0800000000000006E-2</v>
      </c>
      <c r="F264" s="5">
        <f t="shared" si="8"/>
        <v>0.69688333333333297</v>
      </c>
      <c r="G264" s="12">
        <v>1</v>
      </c>
      <c r="H264">
        <f t="shared" si="9"/>
        <v>7.0322937666666627</v>
      </c>
    </row>
    <row r="265" spans="1:8">
      <c r="A265" s="1" t="s">
        <v>36</v>
      </c>
      <c r="B265" s="1" t="s">
        <v>43</v>
      </c>
      <c r="C265" s="2" t="s">
        <v>19</v>
      </c>
      <c r="D265" s="5">
        <v>0.61778333333333302</v>
      </c>
      <c r="E265">
        <v>9.0800000000000006E-2</v>
      </c>
      <c r="F265" s="5">
        <f t="shared" si="8"/>
        <v>0.52698333333333303</v>
      </c>
      <c r="G265" s="12">
        <v>1</v>
      </c>
      <c r="H265">
        <f t="shared" si="9"/>
        <v>5.3091679666666636</v>
      </c>
    </row>
    <row r="266" spans="1:8">
      <c r="A266" s="1" t="s">
        <v>36</v>
      </c>
      <c r="B266" s="1" t="s">
        <v>43</v>
      </c>
      <c r="C266" s="2" t="s">
        <v>20</v>
      </c>
      <c r="D266" s="5">
        <v>0.76518333333333299</v>
      </c>
      <c r="E266">
        <v>9.0800000000000006E-2</v>
      </c>
      <c r="F266" s="5">
        <f t="shared" si="8"/>
        <v>0.674383333333333</v>
      </c>
      <c r="G266" s="12">
        <v>1</v>
      </c>
      <c r="H266">
        <f t="shared" si="9"/>
        <v>6.8040987666666641</v>
      </c>
    </row>
    <row r="267" spans="1:8">
      <c r="A267" s="1" t="s">
        <v>36</v>
      </c>
      <c r="B267" s="1" t="s">
        <v>43</v>
      </c>
      <c r="C267" s="2" t="s">
        <v>22</v>
      </c>
      <c r="D267" s="5">
        <v>0.59268333333333301</v>
      </c>
      <c r="E267">
        <v>9.0800000000000006E-2</v>
      </c>
      <c r="F267" s="5">
        <f t="shared" si="8"/>
        <v>0.50188333333333301</v>
      </c>
      <c r="G267" s="12">
        <v>1</v>
      </c>
      <c r="H267">
        <f t="shared" si="9"/>
        <v>5.0546037666666628</v>
      </c>
    </row>
    <row r="268" spans="1:8">
      <c r="A268" s="1" t="s">
        <v>36</v>
      </c>
      <c r="B268" s="1" t="s">
        <v>43</v>
      </c>
      <c r="C268" s="2" t="s">
        <v>23</v>
      </c>
      <c r="D268" s="5">
        <v>0.53748333333333298</v>
      </c>
      <c r="E268">
        <v>9.0800000000000006E-2</v>
      </c>
      <c r="F268" s="5">
        <f t="shared" si="8"/>
        <v>0.44668333333333299</v>
      </c>
      <c r="G268" s="12">
        <v>1</v>
      </c>
      <c r="H268">
        <f t="shared" si="9"/>
        <v>4.4947653666666625</v>
      </c>
    </row>
    <row r="269" spans="1:8">
      <c r="A269" s="1" t="s">
        <v>36</v>
      </c>
      <c r="B269" s="1" t="s">
        <v>43</v>
      </c>
      <c r="C269" s="2" t="s">
        <v>24</v>
      </c>
      <c r="D269" s="5">
        <v>0.46548333333333303</v>
      </c>
      <c r="E269">
        <v>9.0800000000000006E-2</v>
      </c>
      <c r="F269" s="5">
        <f t="shared" si="8"/>
        <v>0.37468333333333304</v>
      </c>
      <c r="G269" s="12">
        <v>1</v>
      </c>
      <c r="H269">
        <f t="shared" si="9"/>
        <v>3.7645413666666636</v>
      </c>
    </row>
    <row r="270" spans="1:8">
      <c r="A270" s="1" t="s">
        <v>36</v>
      </c>
      <c r="B270" s="1" t="s">
        <v>43</v>
      </c>
      <c r="C270" s="2" t="s">
        <v>26</v>
      </c>
      <c r="D270" s="5">
        <v>0.76258333333333295</v>
      </c>
      <c r="E270">
        <v>9.0800000000000006E-2</v>
      </c>
      <c r="F270" s="5">
        <f t="shared" si="8"/>
        <v>0.67178333333333295</v>
      </c>
      <c r="G270" s="12">
        <v>1</v>
      </c>
      <c r="H270">
        <f t="shared" si="9"/>
        <v>6.7777295666666637</v>
      </c>
    </row>
    <row r="271" spans="1:8">
      <c r="A271" s="1" t="s">
        <v>36</v>
      </c>
      <c r="B271" s="1" t="s">
        <v>43</v>
      </c>
      <c r="C271" s="2" t="s">
        <v>27</v>
      </c>
      <c r="D271" s="5">
        <v>0.70048333333333301</v>
      </c>
      <c r="E271">
        <v>9.0800000000000006E-2</v>
      </c>
      <c r="F271" s="5">
        <f t="shared" si="8"/>
        <v>0.60968333333333302</v>
      </c>
      <c r="G271" s="12">
        <v>1</v>
      </c>
      <c r="H271">
        <f t="shared" si="9"/>
        <v>6.1479113666666638</v>
      </c>
    </row>
    <row r="272" spans="1:8">
      <c r="A272" s="1" t="s">
        <v>36</v>
      </c>
      <c r="B272" s="1" t="s">
        <v>44</v>
      </c>
      <c r="C272" s="2" t="s">
        <v>4</v>
      </c>
      <c r="D272" s="6">
        <v>0.56499999999999995</v>
      </c>
      <c r="E272">
        <v>9.0800000000000006E-2</v>
      </c>
      <c r="F272" s="5">
        <f t="shared" si="8"/>
        <v>0.47419999999999995</v>
      </c>
      <c r="G272" s="12">
        <v>4</v>
      </c>
      <c r="H272">
        <f t="shared" si="9"/>
        <v>19.095357599999996</v>
      </c>
    </row>
    <row r="273" spans="1:8">
      <c r="A273" s="1" t="s">
        <v>36</v>
      </c>
      <c r="B273" s="1" t="s">
        <v>44</v>
      </c>
      <c r="C273" s="2" t="s">
        <v>6</v>
      </c>
      <c r="D273" s="5">
        <v>0.98963333333333303</v>
      </c>
      <c r="E273">
        <v>9.0800000000000006E-2</v>
      </c>
      <c r="F273" s="5">
        <f t="shared" si="8"/>
        <v>0.89883333333333304</v>
      </c>
      <c r="G273" s="12">
        <v>1</v>
      </c>
      <c r="H273">
        <f t="shared" si="9"/>
        <v>9.0804706666666632</v>
      </c>
    </row>
    <row r="274" spans="1:8">
      <c r="A274" s="1" t="s">
        <v>36</v>
      </c>
      <c r="B274" s="1" t="s">
        <v>44</v>
      </c>
      <c r="C274" s="2" t="s">
        <v>7</v>
      </c>
      <c r="D274" s="5">
        <v>0.91873333333333296</v>
      </c>
      <c r="E274">
        <v>9.0800000000000006E-2</v>
      </c>
      <c r="F274" s="5">
        <f t="shared" si="8"/>
        <v>0.82793333333333297</v>
      </c>
      <c r="G274" s="12">
        <v>1</v>
      </c>
      <c r="H274">
        <f t="shared" si="9"/>
        <v>8.361402866666662</v>
      </c>
    </row>
    <row r="275" spans="1:8">
      <c r="A275" s="1" t="s">
        <v>36</v>
      </c>
      <c r="B275" s="1" t="s">
        <v>44</v>
      </c>
      <c r="C275" s="2" t="s">
        <v>8</v>
      </c>
      <c r="D275" s="5">
        <v>0.81783333333333297</v>
      </c>
      <c r="E275">
        <v>9.0800000000000006E-2</v>
      </c>
      <c r="F275" s="5">
        <f t="shared" si="8"/>
        <v>0.72703333333333298</v>
      </c>
      <c r="G275" s="12">
        <v>1</v>
      </c>
      <c r="H275">
        <f t="shared" si="9"/>
        <v>7.3380750666666632</v>
      </c>
    </row>
    <row r="276" spans="1:8">
      <c r="A276" s="1" t="s">
        <v>36</v>
      </c>
      <c r="B276" s="1" t="s">
        <v>44</v>
      </c>
      <c r="C276" s="2" t="s">
        <v>10</v>
      </c>
      <c r="D276" s="5">
        <v>0.75393333333333301</v>
      </c>
      <c r="E276">
        <v>9.0800000000000006E-2</v>
      </c>
      <c r="F276" s="5">
        <f t="shared" si="8"/>
        <v>0.66313333333333302</v>
      </c>
      <c r="G276" s="12">
        <v>1</v>
      </c>
      <c r="H276">
        <f t="shared" si="9"/>
        <v>6.6900012666666635</v>
      </c>
    </row>
    <row r="277" spans="1:8">
      <c r="A277" s="1" t="s">
        <v>36</v>
      </c>
      <c r="B277" s="1" t="s">
        <v>44</v>
      </c>
      <c r="C277" s="2" t="s">
        <v>11</v>
      </c>
      <c r="D277" s="5">
        <v>0.87173333333333303</v>
      </c>
      <c r="E277">
        <v>9.0800000000000006E-2</v>
      </c>
      <c r="F277" s="5">
        <f t="shared" si="8"/>
        <v>0.78093333333333304</v>
      </c>
      <c r="G277" s="12">
        <v>1</v>
      </c>
      <c r="H277">
        <f t="shared" si="9"/>
        <v>7.8847288666666637</v>
      </c>
    </row>
    <row r="278" spans="1:8">
      <c r="A278" s="1" t="s">
        <v>36</v>
      </c>
      <c r="B278" s="1" t="s">
        <v>44</v>
      </c>
      <c r="C278" s="2" t="s">
        <v>12</v>
      </c>
      <c r="D278" s="5">
        <v>0.67813333333333303</v>
      </c>
      <c r="E278">
        <v>9.0800000000000006E-2</v>
      </c>
      <c r="F278" s="5">
        <f t="shared" si="8"/>
        <v>0.58733333333333304</v>
      </c>
      <c r="G278" s="12">
        <v>1</v>
      </c>
      <c r="H278">
        <f t="shared" si="9"/>
        <v>5.9212376666666637</v>
      </c>
    </row>
    <row r="279" spans="1:8">
      <c r="A279" s="1" t="s">
        <v>36</v>
      </c>
      <c r="B279" s="1" t="s">
        <v>44</v>
      </c>
      <c r="C279" s="2" t="s">
        <v>14</v>
      </c>
      <c r="D279" s="5">
        <v>0.73983333333333301</v>
      </c>
      <c r="E279">
        <v>9.0800000000000006E-2</v>
      </c>
      <c r="F279" s="5">
        <f t="shared" si="8"/>
        <v>0.64903333333333302</v>
      </c>
      <c r="G279" s="12">
        <v>1</v>
      </c>
      <c r="H279">
        <f t="shared" si="9"/>
        <v>6.5469990666666638</v>
      </c>
    </row>
    <row r="280" spans="1:8">
      <c r="A280" s="1" t="s">
        <v>36</v>
      </c>
      <c r="B280" s="1" t="s">
        <v>44</v>
      </c>
      <c r="C280" s="2" t="s">
        <v>15</v>
      </c>
      <c r="D280" s="5">
        <v>0.81133333333333302</v>
      </c>
      <c r="E280">
        <v>9.0800000000000006E-2</v>
      </c>
      <c r="F280" s="5">
        <f t="shared" si="8"/>
        <v>0.72053333333333303</v>
      </c>
      <c r="G280" s="12">
        <v>1</v>
      </c>
      <c r="H280">
        <f t="shared" si="9"/>
        <v>7.2721520666666635</v>
      </c>
    </row>
    <row r="281" spans="1:8">
      <c r="A281" s="1" t="s">
        <v>36</v>
      </c>
      <c r="B281" s="1" t="s">
        <v>44</v>
      </c>
      <c r="C281" s="2" t="s">
        <v>16</v>
      </c>
      <c r="D281" s="6">
        <v>0.44700000000000001</v>
      </c>
      <c r="E281">
        <v>9.0800000000000006E-2</v>
      </c>
      <c r="F281" s="5">
        <f t="shared" si="8"/>
        <v>0.35620000000000002</v>
      </c>
      <c r="G281" s="12">
        <v>4</v>
      </c>
      <c r="H281">
        <f t="shared" si="9"/>
        <v>14.308333599999999</v>
      </c>
    </row>
    <row r="282" spans="1:8">
      <c r="A282" s="1" t="s">
        <v>36</v>
      </c>
      <c r="B282" s="1" t="s">
        <v>44</v>
      </c>
      <c r="C282" s="2" t="s">
        <v>18</v>
      </c>
      <c r="D282" s="5">
        <v>0.76353333333333295</v>
      </c>
      <c r="E282">
        <v>9.0800000000000006E-2</v>
      </c>
      <c r="F282" s="5">
        <f t="shared" si="8"/>
        <v>0.67273333333333296</v>
      </c>
      <c r="G282" s="12">
        <v>1</v>
      </c>
      <c r="H282">
        <f t="shared" si="9"/>
        <v>6.7873644666666628</v>
      </c>
    </row>
    <row r="283" spans="1:8">
      <c r="A283" s="1" t="s">
        <v>36</v>
      </c>
      <c r="B283" s="1" t="s">
        <v>44</v>
      </c>
      <c r="C283" s="2" t="s">
        <v>19</v>
      </c>
      <c r="D283" s="5">
        <v>0.84533333333333305</v>
      </c>
      <c r="E283">
        <v>9.0800000000000006E-2</v>
      </c>
      <c r="F283" s="5">
        <f t="shared" si="8"/>
        <v>0.75453333333333306</v>
      </c>
      <c r="G283" s="12">
        <v>1</v>
      </c>
      <c r="H283">
        <f t="shared" si="9"/>
        <v>7.6169800666666641</v>
      </c>
    </row>
    <row r="284" spans="1:8">
      <c r="A284" s="1" t="s">
        <v>36</v>
      </c>
      <c r="B284" s="1" t="s">
        <v>44</v>
      </c>
      <c r="C284" s="2" t="s">
        <v>20</v>
      </c>
      <c r="D284" s="5">
        <v>0.53433333333333299</v>
      </c>
      <c r="E284">
        <v>9.0800000000000006E-2</v>
      </c>
      <c r="F284" s="5">
        <f t="shared" si="8"/>
        <v>0.443533333333333</v>
      </c>
      <c r="G284" s="12">
        <v>1</v>
      </c>
      <c r="H284">
        <f t="shared" si="9"/>
        <v>4.4628180666666628</v>
      </c>
    </row>
    <row r="285" spans="1:8">
      <c r="A285" s="1" t="s">
        <v>36</v>
      </c>
      <c r="B285" s="1" t="s">
        <v>44</v>
      </c>
      <c r="C285" s="2" t="s">
        <v>22</v>
      </c>
      <c r="D285" s="5">
        <v>0.723833333333333</v>
      </c>
      <c r="E285">
        <v>9.0800000000000006E-2</v>
      </c>
      <c r="F285" s="5">
        <f t="shared" si="8"/>
        <v>0.633033333333333</v>
      </c>
      <c r="G285" s="12">
        <v>1</v>
      </c>
      <c r="H285">
        <f t="shared" si="9"/>
        <v>6.3847270666666631</v>
      </c>
    </row>
    <row r="286" spans="1:8">
      <c r="A286" s="1" t="s">
        <v>36</v>
      </c>
      <c r="B286" s="1" t="s">
        <v>44</v>
      </c>
      <c r="C286" s="2" t="s">
        <v>23</v>
      </c>
      <c r="D286" s="5">
        <v>0.93163333333333298</v>
      </c>
      <c r="E286">
        <v>9.0800000000000006E-2</v>
      </c>
      <c r="F286" s="5">
        <f t="shared" si="8"/>
        <v>0.84083333333333299</v>
      </c>
      <c r="G286" s="12">
        <v>1</v>
      </c>
      <c r="H286">
        <f t="shared" si="9"/>
        <v>8.492234666666663</v>
      </c>
    </row>
    <row r="287" spans="1:8">
      <c r="A287" s="1" t="s">
        <v>36</v>
      </c>
      <c r="B287" s="1" t="s">
        <v>44</v>
      </c>
      <c r="C287" s="2" t="s">
        <v>24</v>
      </c>
      <c r="D287" s="6">
        <v>0.503</v>
      </c>
      <c r="E287">
        <v>9.0800000000000006E-2</v>
      </c>
      <c r="F287" s="5">
        <f t="shared" si="8"/>
        <v>0.41220000000000001</v>
      </c>
      <c r="G287" s="12">
        <v>4</v>
      </c>
      <c r="H287">
        <f t="shared" si="9"/>
        <v>16.580141599999997</v>
      </c>
    </row>
    <row r="288" spans="1:8">
      <c r="A288" s="1" t="s">
        <v>36</v>
      </c>
      <c r="B288" s="1" t="s">
        <v>44</v>
      </c>
      <c r="C288" s="2" t="s">
        <v>26</v>
      </c>
      <c r="D288" s="6">
        <v>0.47199999999999998</v>
      </c>
      <c r="E288">
        <v>9.0800000000000006E-2</v>
      </c>
      <c r="F288" s="5">
        <f t="shared" si="8"/>
        <v>0.38119999999999998</v>
      </c>
      <c r="G288" s="12">
        <v>4</v>
      </c>
      <c r="H288">
        <f t="shared" si="9"/>
        <v>15.322533599999998</v>
      </c>
    </row>
    <row r="289" spans="1:8">
      <c r="A289" s="1" t="s">
        <v>36</v>
      </c>
      <c r="B289" s="1" t="s">
        <v>44</v>
      </c>
      <c r="C289" s="2" t="s">
        <v>27</v>
      </c>
      <c r="D289" s="5">
        <v>0.72233333333333305</v>
      </c>
      <c r="E289">
        <v>9.0800000000000006E-2</v>
      </c>
      <c r="F289" s="5">
        <f t="shared" si="8"/>
        <v>0.63153333333333306</v>
      </c>
      <c r="G289" s="12">
        <v>1</v>
      </c>
      <c r="H289">
        <f t="shared" si="9"/>
        <v>6.3695140666666639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AB44-1A39-5C4D-86B2-057A95820310}">
  <dimension ref="A1:H289"/>
  <sheetViews>
    <sheetView topLeftCell="B1" zoomScale="130" workbookViewId="0">
      <selection activeCell="H2" sqref="H2"/>
    </sheetView>
  </sheetViews>
  <sheetFormatPr baseColWidth="10" defaultRowHeight="16"/>
  <cols>
    <col min="1" max="3" width="10.83203125" style="1"/>
    <col min="4" max="4" width="10.83203125" style="5"/>
    <col min="7" max="7" width="17.1640625" bestFit="1" customWidth="1"/>
  </cols>
  <sheetData>
    <row r="1" spans="1:8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60</v>
      </c>
      <c r="H1" s="1" t="s">
        <v>52</v>
      </c>
    </row>
    <row r="2" spans="1:8">
      <c r="A2" s="1" t="s">
        <v>35</v>
      </c>
      <c r="B2" s="1" t="s">
        <v>28</v>
      </c>
      <c r="C2" s="1" t="s">
        <v>5</v>
      </c>
      <c r="D2" s="5">
        <v>1.2518</v>
      </c>
      <c r="E2">
        <v>0.44294</v>
      </c>
      <c r="F2" s="5">
        <f>D2-E2</f>
        <v>0.80886000000000002</v>
      </c>
      <c r="G2">
        <v>4</v>
      </c>
      <c r="H2">
        <f>0.1413*(F2+0.003)*G2/0.01</f>
        <v>45.886327200000004</v>
      </c>
    </row>
    <row r="3" spans="1:8">
      <c r="A3" s="1" t="s">
        <v>35</v>
      </c>
      <c r="B3" s="1" t="s">
        <v>28</v>
      </c>
      <c r="C3" s="1" t="s">
        <v>6</v>
      </c>
      <c r="D3" s="6">
        <v>0.53400000000000003</v>
      </c>
      <c r="E3">
        <v>0.20327999999999999</v>
      </c>
      <c r="F3" s="5">
        <f t="shared" ref="F3:F66" si="0">D3-E3</f>
        <v>0.33072000000000001</v>
      </c>
      <c r="G3">
        <v>10</v>
      </c>
      <c r="H3">
        <f>0.1413*(F3+0.003)*G3/0.01</f>
        <v>47.154636000000004</v>
      </c>
    </row>
    <row r="4" spans="1:8">
      <c r="A4" s="1" t="s">
        <v>35</v>
      </c>
      <c r="B4" s="1" t="s">
        <v>28</v>
      </c>
      <c r="C4" s="1" t="s">
        <v>7</v>
      </c>
      <c r="D4" s="5">
        <v>1.4551000000000001</v>
      </c>
      <c r="E4">
        <v>0.44294</v>
      </c>
      <c r="F4" s="5">
        <f t="shared" si="0"/>
        <v>1.0121600000000002</v>
      </c>
      <c r="G4">
        <v>4</v>
      </c>
      <c r="H4">
        <f t="shared" ref="H4:H67" si="1">0.1413*(F4+0.003)*G4/0.01</f>
        <v>57.376843200000003</v>
      </c>
    </row>
    <row r="5" spans="1:8">
      <c r="A5" s="1" t="s">
        <v>35</v>
      </c>
      <c r="B5" s="1" t="s">
        <v>28</v>
      </c>
      <c r="C5" s="1" t="s">
        <v>9</v>
      </c>
      <c r="D5" s="5">
        <v>1.028</v>
      </c>
      <c r="E5">
        <v>0.44294</v>
      </c>
      <c r="F5" s="5">
        <f t="shared" si="0"/>
        <v>0.58506000000000002</v>
      </c>
      <c r="G5">
        <v>4</v>
      </c>
      <c r="H5">
        <f t="shared" si="1"/>
        <v>33.2371512</v>
      </c>
    </row>
    <row r="6" spans="1:8">
      <c r="A6" s="1" t="s">
        <v>35</v>
      </c>
      <c r="B6" s="1" t="s">
        <v>28</v>
      </c>
      <c r="C6" s="1" t="s">
        <v>10</v>
      </c>
      <c r="D6" s="5">
        <v>1.4153</v>
      </c>
      <c r="E6">
        <v>0.44294</v>
      </c>
      <c r="F6" s="5">
        <f t="shared" si="0"/>
        <v>0.97236</v>
      </c>
      <c r="G6">
        <v>4</v>
      </c>
      <c r="H6">
        <f t="shared" si="1"/>
        <v>55.127347199999996</v>
      </c>
    </row>
    <row r="7" spans="1:8">
      <c r="A7" s="1" t="s">
        <v>35</v>
      </c>
      <c r="B7" s="1" t="s">
        <v>28</v>
      </c>
      <c r="C7" s="1" t="s">
        <v>11</v>
      </c>
      <c r="D7" s="5">
        <v>0.91649999999999998</v>
      </c>
      <c r="E7">
        <v>0.44294</v>
      </c>
      <c r="F7" s="5">
        <f t="shared" si="0"/>
        <v>0.47355999999999998</v>
      </c>
      <c r="G7">
        <v>4</v>
      </c>
      <c r="H7">
        <f t="shared" si="1"/>
        <v>26.935171200000003</v>
      </c>
    </row>
    <row r="8" spans="1:8">
      <c r="A8" s="1" t="s">
        <v>35</v>
      </c>
      <c r="B8" s="1" t="s">
        <v>28</v>
      </c>
      <c r="C8" s="1" t="s">
        <v>13</v>
      </c>
      <c r="D8" s="5">
        <v>0.96750000000000003</v>
      </c>
      <c r="E8">
        <v>0.44294</v>
      </c>
      <c r="F8" s="5">
        <f t="shared" si="0"/>
        <v>0.52456000000000003</v>
      </c>
      <c r="G8">
        <v>4</v>
      </c>
      <c r="H8">
        <f t="shared" si="1"/>
        <v>29.817691200000002</v>
      </c>
    </row>
    <row r="9" spans="1:8">
      <c r="A9" s="1" t="s">
        <v>35</v>
      </c>
      <c r="B9" s="1" t="s">
        <v>28</v>
      </c>
      <c r="C9" s="1" t="s">
        <v>14</v>
      </c>
      <c r="D9" s="5">
        <v>1.3587</v>
      </c>
      <c r="E9">
        <v>0.44294</v>
      </c>
      <c r="F9" s="5">
        <f t="shared" si="0"/>
        <v>0.91576000000000002</v>
      </c>
      <c r="G9">
        <v>4</v>
      </c>
      <c r="H9">
        <f t="shared" si="1"/>
        <v>51.928315200000007</v>
      </c>
    </row>
    <row r="10" spans="1:8">
      <c r="A10" s="1" t="s">
        <v>35</v>
      </c>
      <c r="B10" s="1" t="s">
        <v>28</v>
      </c>
      <c r="C10" s="1" t="s">
        <v>15</v>
      </c>
      <c r="D10" s="5">
        <v>0.871</v>
      </c>
      <c r="E10">
        <v>0.44294</v>
      </c>
      <c r="F10" s="5">
        <f t="shared" si="0"/>
        <v>0.42806</v>
      </c>
      <c r="G10">
        <v>4</v>
      </c>
      <c r="H10">
        <f t="shared" si="1"/>
        <v>24.363511200000001</v>
      </c>
    </row>
    <row r="11" spans="1:8">
      <c r="A11" s="1" t="s">
        <v>35</v>
      </c>
      <c r="B11" s="1" t="s">
        <v>28</v>
      </c>
      <c r="C11" s="1" t="s">
        <v>17</v>
      </c>
      <c r="D11" s="5">
        <v>1.5244</v>
      </c>
      <c r="E11">
        <v>0.44294</v>
      </c>
      <c r="F11" s="5">
        <f t="shared" si="0"/>
        <v>1.0814599999999999</v>
      </c>
      <c r="G11">
        <v>4</v>
      </c>
      <c r="H11">
        <f t="shared" si="1"/>
        <v>61.293679199999993</v>
      </c>
    </row>
    <row r="12" spans="1:8">
      <c r="A12" s="1" t="s">
        <v>35</v>
      </c>
      <c r="B12" s="1" t="s">
        <v>28</v>
      </c>
      <c r="C12" s="1" t="s">
        <v>18</v>
      </c>
      <c r="D12" s="5">
        <v>1.2703</v>
      </c>
      <c r="E12">
        <v>0.44294</v>
      </c>
      <c r="F12" s="5">
        <f t="shared" si="0"/>
        <v>0.82735999999999998</v>
      </c>
      <c r="G12">
        <v>4</v>
      </c>
      <c r="H12">
        <f t="shared" si="1"/>
        <v>46.931947200000003</v>
      </c>
    </row>
    <row r="13" spans="1:8">
      <c r="A13" s="1" t="s">
        <v>35</v>
      </c>
      <c r="B13" s="1" t="s">
        <v>28</v>
      </c>
      <c r="C13" s="1" t="s">
        <v>19</v>
      </c>
      <c r="D13" s="5">
        <v>1.4212</v>
      </c>
      <c r="E13">
        <v>0.44294</v>
      </c>
      <c r="F13" s="5">
        <f t="shared" si="0"/>
        <v>0.97826000000000002</v>
      </c>
      <c r="G13">
        <v>4</v>
      </c>
      <c r="H13">
        <f t="shared" si="1"/>
        <v>55.460815199999999</v>
      </c>
    </row>
    <row r="14" spans="1:8">
      <c r="A14" s="1" t="s">
        <v>35</v>
      </c>
      <c r="B14" s="1" t="s">
        <v>28</v>
      </c>
      <c r="C14" s="1" t="s">
        <v>21</v>
      </c>
      <c r="D14" s="5">
        <v>1.4853000000000001</v>
      </c>
      <c r="E14">
        <v>0.44294</v>
      </c>
      <c r="F14" s="5">
        <f t="shared" si="0"/>
        <v>1.04236</v>
      </c>
      <c r="G14">
        <v>4</v>
      </c>
      <c r="H14">
        <f t="shared" si="1"/>
        <v>59.083747199999991</v>
      </c>
    </row>
    <row r="15" spans="1:8">
      <c r="A15" s="1" t="s">
        <v>35</v>
      </c>
      <c r="B15" s="1" t="s">
        <v>28</v>
      </c>
      <c r="C15" s="1" t="s">
        <v>22</v>
      </c>
      <c r="D15" s="5">
        <v>1.6896</v>
      </c>
      <c r="E15">
        <v>0.44294</v>
      </c>
      <c r="F15" s="5">
        <f t="shared" si="0"/>
        <v>1.2466599999999999</v>
      </c>
      <c r="G15">
        <v>4</v>
      </c>
      <c r="H15">
        <f t="shared" si="1"/>
        <v>70.630783199999996</v>
      </c>
    </row>
    <row r="16" spans="1:8">
      <c r="A16" s="1" t="s">
        <v>35</v>
      </c>
      <c r="B16" s="1" t="s">
        <v>28</v>
      </c>
      <c r="C16" s="1" t="s">
        <v>23</v>
      </c>
      <c r="D16" s="5">
        <v>1.1258999999999999</v>
      </c>
      <c r="E16">
        <v>0.44294</v>
      </c>
      <c r="F16" s="5">
        <f t="shared" si="0"/>
        <v>0.6829599999999999</v>
      </c>
      <c r="G16">
        <v>4</v>
      </c>
      <c r="H16">
        <f t="shared" si="1"/>
        <v>38.770459199999998</v>
      </c>
    </row>
    <row r="17" spans="1:8">
      <c r="A17" s="1" t="s">
        <v>35</v>
      </c>
      <c r="B17" s="1" t="s">
        <v>28</v>
      </c>
      <c r="C17" s="1" t="s">
        <v>25</v>
      </c>
      <c r="D17" s="5">
        <v>1.2375</v>
      </c>
      <c r="E17">
        <v>0.44294</v>
      </c>
      <c r="F17" s="5">
        <f t="shared" si="0"/>
        <v>0.79456000000000004</v>
      </c>
      <c r="G17">
        <v>4</v>
      </c>
      <c r="H17">
        <f t="shared" si="1"/>
        <v>45.078091200000003</v>
      </c>
    </row>
    <row r="18" spans="1:8">
      <c r="A18" s="1" t="s">
        <v>35</v>
      </c>
      <c r="B18" s="1" t="s">
        <v>28</v>
      </c>
      <c r="C18" s="1" t="s">
        <v>26</v>
      </c>
      <c r="D18" s="5">
        <v>1.6898</v>
      </c>
      <c r="E18">
        <v>0.44294</v>
      </c>
      <c r="F18" s="5">
        <f t="shared" si="0"/>
        <v>1.2468599999999999</v>
      </c>
      <c r="G18">
        <v>4</v>
      </c>
      <c r="H18">
        <f t="shared" si="1"/>
        <v>70.642087199999992</v>
      </c>
    </row>
    <row r="19" spans="1:8">
      <c r="A19" s="1" t="s">
        <v>35</v>
      </c>
      <c r="B19" s="1" t="s">
        <v>28</v>
      </c>
      <c r="C19" s="1" t="s">
        <v>27</v>
      </c>
      <c r="D19" s="5">
        <v>1.6732</v>
      </c>
      <c r="E19">
        <v>0.44294</v>
      </c>
      <c r="F19" s="5">
        <f t="shared" si="0"/>
        <v>1.2302599999999999</v>
      </c>
      <c r="G19">
        <v>4</v>
      </c>
      <c r="H19">
        <f t="shared" si="1"/>
        <v>69.703855199999992</v>
      </c>
    </row>
    <row r="20" spans="1:8">
      <c r="A20" s="1" t="s">
        <v>35</v>
      </c>
      <c r="B20" s="1" t="s">
        <v>2</v>
      </c>
      <c r="C20" s="1" t="s">
        <v>5</v>
      </c>
      <c r="D20" s="5">
        <v>1.05284</v>
      </c>
      <c r="E20">
        <v>0.44294</v>
      </c>
      <c r="F20" s="5">
        <f t="shared" si="0"/>
        <v>0.6099</v>
      </c>
      <c r="G20">
        <v>4</v>
      </c>
      <c r="H20">
        <f t="shared" si="1"/>
        <v>34.641108000000003</v>
      </c>
    </row>
    <row r="21" spans="1:8">
      <c r="A21" s="1" t="s">
        <v>35</v>
      </c>
      <c r="B21" s="1" t="s">
        <v>2</v>
      </c>
      <c r="C21" s="1" t="s">
        <v>6</v>
      </c>
      <c r="D21" s="5">
        <v>0.94833999999999996</v>
      </c>
      <c r="E21">
        <v>0.44294</v>
      </c>
      <c r="F21" s="5">
        <f t="shared" si="0"/>
        <v>0.50539999999999996</v>
      </c>
      <c r="G21">
        <v>4</v>
      </c>
      <c r="H21">
        <f t="shared" si="1"/>
        <v>28.734767999999999</v>
      </c>
    </row>
    <row r="22" spans="1:8">
      <c r="A22" s="1" t="s">
        <v>35</v>
      </c>
      <c r="B22" s="1" t="s">
        <v>2</v>
      </c>
      <c r="C22" s="1" t="s">
        <v>7</v>
      </c>
      <c r="D22" s="5">
        <v>1.36504</v>
      </c>
      <c r="E22">
        <v>0.44294</v>
      </c>
      <c r="F22" s="5">
        <f t="shared" si="0"/>
        <v>0.92210000000000003</v>
      </c>
      <c r="G22">
        <v>4</v>
      </c>
      <c r="H22">
        <f t="shared" si="1"/>
        <v>52.286651999999997</v>
      </c>
    </row>
    <row r="23" spans="1:8">
      <c r="A23" s="1" t="s">
        <v>35</v>
      </c>
      <c r="B23" s="1" t="s">
        <v>2</v>
      </c>
      <c r="C23" s="1" t="s">
        <v>9</v>
      </c>
      <c r="D23" s="5">
        <v>1.22254</v>
      </c>
      <c r="E23">
        <v>0.44294</v>
      </c>
      <c r="F23" s="5">
        <f t="shared" si="0"/>
        <v>0.77959999999999996</v>
      </c>
      <c r="G23">
        <v>4</v>
      </c>
      <c r="H23">
        <f t="shared" si="1"/>
        <v>44.232551999999998</v>
      </c>
    </row>
    <row r="24" spans="1:8">
      <c r="A24" s="1" t="s">
        <v>35</v>
      </c>
      <c r="B24" s="1" t="s">
        <v>2</v>
      </c>
      <c r="C24" s="1" t="s">
        <v>10</v>
      </c>
      <c r="D24" s="5">
        <v>1.5499400000000001</v>
      </c>
      <c r="E24">
        <v>0.44294</v>
      </c>
      <c r="F24" s="5">
        <f t="shared" si="0"/>
        <v>1.1070000000000002</v>
      </c>
      <c r="G24">
        <v>4</v>
      </c>
      <c r="H24">
        <f t="shared" si="1"/>
        <v>62.737200000000001</v>
      </c>
    </row>
    <row r="25" spans="1:8">
      <c r="A25" s="1" t="s">
        <v>35</v>
      </c>
      <c r="B25" s="1" t="s">
        <v>2</v>
      </c>
      <c r="C25" s="1" t="s">
        <v>11</v>
      </c>
      <c r="D25" s="5">
        <v>0.76034000000000002</v>
      </c>
      <c r="E25">
        <v>0.44294</v>
      </c>
      <c r="F25" s="5">
        <f t="shared" si="0"/>
        <v>0.31740000000000002</v>
      </c>
      <c r="G25">
        <v>4</v>
      </c>
      <c r="H25">
        <f t="shared" si="1"/>
        <v>18.109007999999999</v>
      </c>
    </row>
    <row r="26" spans="1:8">
      <c r="A26" s="1" t="s">
        <v>35</v>
      </c>
      <c r="B26" s="1" t="s">
        <v>2</v>
      </c>
      <c r="C26" s="1" t="s">
        <v>13</v>
      </c>
      <c r="D26" s="5">
        <v>1.1164400000000001</v>
      </c>
      <c r="E26">
        <v>0.44294</v>
      </c>
      <c r="F26" s="5">
        <f t="shared" si="0"/>
        <v>0.6735000000000001</v>
      </c>
      <c r="G26">
        <v>4</v>
      </c>
      <c r="H26">
        <f t="shared" si="1"/>
        <v>38.235780000000005</v>
      </c>
    </row>
    <row r="27" spans="1:8">
      <c r="A27" s="1" t="s">
        <v>35</v>
      </c>
      <c r="B27" s="1" t="s">
        <v>2</v>
      </c>
      <c r="C27" s="1" t="s">
        <v>14</v>
      </c>
      <c r="D27" s="5">
        <v>1.2853399999999999</v>
      </c>
      <c r="E27">
        <v>0.44294</v>
      </c>
      <c r="F27" s="5">
        <f t="shared" si="0"/>
        <v>0.84239999999999993</v>
      </c>
      <c r="G27">
        <v>4</v>
      </c>
      <c r="H27">
        <f t="shared" si="1"/>
        <v>47.782007999999998</v>
      </c>
    </row>
    <row r="28" spans="1:8">
      <c r="A28" s="1" t="s">
        <v>35</v>
      </c>
      <c r="B28" s="1" t="s">
        <v>2</v>
      </c>
      <c r="C28" s="1" t="s">
        <v>15</v>
      </c>
      <c r="D28" s="5">
        <v>1.01684</v>
      </c>
      <c r="E28">
        <v>0.44294</v>
      </c>
      <c r="F28" s="5">
        <f t="shared" si="0"/>
        <v>0.57389999999999997</v>
      </c>
      <c r="G28">
        <v>4</v>
      </c>
      <c r="H28">
        <f t="shared" si="1"/>
        <v>32.606388000000003</v>
      </c>
    </row>
    <row r="29" spans="1:8">
      <c r="A29" s="1" t="s">
        <v>35</v>
      </c>
      <c r="B29" s="1" t="s">
        <v>2</v>
      </c>
      <c r="C29" s="1" t="s">
        <v>17</v>
      </c>
      <c r="D29" s="5">
        <v>1.1382399999999999</v>
      </c>
      <c r="E29">
        <v>0.44294</v>
      </c>
      <c r="F29" s="5">
        <f t="shared" si="0"/>
        <v>0.69529999999999992</v>
      </c>
      <c r="G29">
        <v>4</v>
      </c>
      <c r="H29">
        <f t="shared" si="1"/>
        <v>39.467915999999995</v>
      </c>
    </row>
    <row r="30" spans="1:8">
      <c r="A30" s="1" t="s">
        <v>35</v>
      </c>
      <c r="B30" s="1" t="s">
        <v>2</v>
      </c>
      <c r="C30" s="1" t="s">
        <v>18</v>
      </c>
      <c r="D30" s="5">
        <v>1.0395399999999999</v>
      </c>
      <c r="E30">
        <v>0.44294</v>
      </c>
      <c r="F30" s="5">
        <f t="shared" si="0"/>
        <v>0.59659999999999991</v>
      </c>
      <c r="G30">
        <v>4</v>
      </c>
      <c r="H30">
        <f t="shared" si="1"/>
        <v>33.889391999999994</v>
      </c>
    </row>
    <row r="31" spans="1:8">
      <c r="A31" s="1" t="s">
        <v>35</v>
      </c>
      <c r="B31" s="1" t="s">
        <v>2</v>
      </c>
      <c r="C31" s="1" t="s">
        <v>19</v>
      </c>
      <c r="D31" s="5">
        <v>1.07704</v>
      </c>
      <c r="E31">
        <v>0.44294</v>
      </c>
      <c r="F31" s="5">
        <f t="shared" si="0"/>
        <v>0.6341</v>
      </c>
      <c r="G31">
        <v>4</v>
      </c>
      <c r="H31">
        <f t="shared" si="1"/>
        <v>36.008892000000003</v>
      </c>
    </row>
    <row r="32" spans="1:8">
      <c r="A32" s="1" t="s">
        <v>35</v>
      </c>
      <c r="B32" s="1" t="s">
        <v>2</v>
      </c>
      <c r="C32" s="1" t="s">
        <v>21</v>
      </c>
      <c r="D32" s="5">
        <v>1.3295399999999999</v>
      </c>
      <c r="E32">
        <v>0.44294</v>
      </c>
      <c r="F32" s="5">
        <f t="shared" si="0"/>
        <v>0.88659999999999994</v>
      </c>
      <c r="G32">
        <v>4</v>
      </c>
      <c r="H32">
        <f t="shared" si="1"/>
        <v>50.280192</v>
      </c>
    </row>
    <row r="33" spans="1:8">
      <c r="A33" s="1" t="s">
        <v>35</v>
      </c>
      <c r="B33" s="1" t="s">
        <v>2</v>
      </c>
      <c r="C33" s="1" t="s">
        <v>22</v>
      </c>
      <c r="D33" s="5">
        <v>1.07274</v>
      </c>
      <c r="E33">
        <v>0.44294</v>
      </c>
      <c r="F33" s="5">
        <f t="shared" si="0"/>
        <v>0.62980000000000003</v>
      </c>
      <c r="G33">
        <v>4</v>
      </c>
      <c r="H33">
        <f t="shared" si="1"/>
        <v>35.765855999999999</v>
      </c>
    </row>
    <row r="34" spans="1:8">
      <c r="A34" s="1" t="s">
        <v>35</v>
      </c>
      <c r="B34" s="1" t="s">
        <v>2</v>
      </c>
      <c r="C34" s="1" t="s">
        <v>23</v>
      </c>
      <c r="D34" s="5">
        <v>1.55254</v>
      </c>
      <c r="E34">
        <v>0.44294</v>
      </c>
      <c r="F34" s="5">
        <f t="shared" si="0"/>
        <v>1.1095999999999999</v>
      </c>
      <c r="G34">
        <v>4</v>
      </c>
      <c r="H34">
        <f t="shared" si="1"/>
        <v>62.884151999999993</v>
      </c>
    </row>
    <row r="35" spans="1:8">
      <c r="A35" s="1" t="s">
        <v>35</v>
      </c>
      <c r="B35" s="1" t="s">
        <v>2</v>
      </c>
      <c r="C35" s="1" t="s">
        <v>25</v>
      </c>
      <c r="D35" s="5">
        <v>1.4468399999999999</v>
      </c>
      <c r="E35">
        <v>0.44294</v>
      </c>
      <c r="F35" s="5">
        <f t="shared" si="0"/>
        <v>1.0038999999999998</v>
      </c>
      <c r="G35">
        <v>4</v>
      </c>
      <c r="H35">
        <f t="shared" si="1"/>
        <v>56.909987999999991</v>
      </c>
    </row>
    <row r="36" spans="1:8">
      <c r="A36" s="1" t="s">
        <v>35</v>
      </c>
      <c r="B36" s="1" t="s">
        <v>2</v>
      </c>
      <c r="C36" s="1" t="s">
        <v>26</v>
      </c>
      <c r="D36" s="5">
        <v>0.99153999999999998</v>
      </c>
      <c r="E36">
        <v>0.44294</v>
      </c>
      <c r="F36" s="5">
        <f t="shared" si="0"/>
        <v>0.54859999999999998</v>
      </c>
      <c r="G36">
        <v>4</v>
      </c>
      <c r="H36">
        <f t="shared" si="1"/>
        <v>31.176431999999998</v>
      </c>
    </row>
    <row r="37" spans="1:8">
      <c r="A37" s="1" t="s">
        <v>35</v>
      </c>
      <c r="B37" s="1" t="s">
        <v>2</v>
      </c>
      <c r="C37" s="1" t="s">
        <v>27</v>
      </c>
      <c r="D37" s="5">
        <v>1.2075400000000001</v>
      </c>
      <c r="E37">
        <v>0.44294</v>
      </c>
      <c r="F37" s="5">
        <f t="shared" si="0"/>
        <v>0.76460000000000006</v>
      </c>
      <c r="G37">
        <v>4</v>
      </c>
      <c r="H37">
        <f t="shared" si="1"/>
        <v>43.384752000000006</v>
      </c>
    </row>
    <row r="38" spans="1:8">
      <c r="A38" s="1" t="s">
        <v>35</v>
      </c>
      <c r="B38" s="1" t="s">
        <v>29</v>
      </c>
      <c r="C38" s="1" t="s">
        <v>5</v>
      </c>
      <c r="D38" s="5">
        <v>1.0095166666666699</v>
      </c>
      <c r="E38">
        <v>0.44294</v>
      </c>
      <c r="F38" s="5">
        <f t="shared" si="0"/>
        <v>0.56657666666666995</v>
      </c>
      <c r="G38">
        <v>4</v>
      </c>
      <c r="H38">
        <f t="shared" si="1"/>
        <v>32.192473200000187</v>
      </c>
    </row>
    <row r="39" spans="1:8">
      <c r="A39" s="1" t="s">
        <v>35</v>
      </c>
      <c r="B39" s="1" t="s">
        <v>29</v>
      </c>
      <c r="C39" s="1" t="s">
        <v>6</v>
      </c>
      <c r="D39" s="5">
        <v>1.30941666666667</v>
      </c>
      <c r="E39">
        <v>0.44294</v>
      </c>
      <c r="F39" s="5">
        <f t="shared" si="0"/>
        <v>0.86647666666667</v>
      </c>
      <c r="G39">
        <v>4</v>
      </c>
      <c r="H39">
        <f t="shared" si="1"/>
        <v>49.142821200000192</v>
      </c>
    </row>
    <row r="40" spans="1:8">
      <c r="A40" s="1" t="s">
        <v>35</v>
      </c>
      <c r="B40" s="1" t="s">
        <v>29</v>
      </c>
      <c r="C40" s="1" t="s">
        <v>7</v>
      </c>
      <c r="D40" s="5">
        <v>1.5198166666666699</v>
      </c>
      <c r="E40">
        <v>0.44294</v>
      </c>
      <c r="F40" s="5">
        <f t="shared" si="0"/>
        <v>1.0768766666666698</v>
      </c>
      <c r="G40">
        <v>4</v>
      </c>
      <c r="H40">
        <f t="shared" si="1"/>
        <v>61.034629200000175</v>
      </c>
    </row>
    <row r="41" spans="1:8">
      <c r="A41" s="1" t="s">
        <v>35</v>
      </c>
      <c r="B41" s="1" t="s">
        <v>29</v>
      </c>
      <c r="C41" s="1" t="s">
        <v>9</v>
      </c>
      <c r="D41" s="5">
        <v>0.98661666666666703</v>
      </c>
      <c r="E41">
        <v>0.44294</v>
      </c>
      <c r="F41" s="5">
        <f t="shared" si="0"/>
        <v>0.54367666666666703</v>
      </c>
      <c r="G41">
        <v>4</v>
      </c>
      <c r="H41">
        <f t="shared" si="1"/>
        <v>30.898165200000022</v>
      </c>
    </row>
    <row r="42" spans="1:8">
      <c r="A42" s="1" t="s">
        <v>35</v>
      </c>
      <c r="B42" s="1" t="s">
        <v>29</v>
      </c>
      <c r="C42" s="1" t="s">
        <v>10</v>
      </c>
      <c r="D42" s="5">
        <v>0.87231666666666696</v>
      </c>
      <c r="E42">
        <v>0.44294</v>
      </c>
      <c r="F42" s="5">
        <f t="shared" si="0"/>
        <v>0.42937666666666696</v>
      </c>
      <c r="G42">
        <v>4</v>
      </c>
      <c r="H42">
        <f t="shared" si="1"/>
        <v>24.437929200000017</v>
      </c>
    </row>
    <row r="43" spans="1:8">
      <c r="A43" s="1" t="s">
        <v>35</v>
      </c>
      <c r="B43" s="1" t="s">
        <v>29</v>
      </c>
      <c r="C43" s="1" t="s">
        <v>11</v>
      </c>
      <c r="D43" s="5">
        <v>0.776216666666667</v>
      </c>
      <c r="E43">
        <v>0.44294</v>
      </c>
      <c r="F43" s="5">
        <f t="shared" si="0"/>
        <v>0.333276666666667</v>
      </c>
      <c r="G43">
        <v>4</v>
      </c>
      <c r="H43">
        <f t="shared" si="1"/>
        <v>19.006357200000021</v>
      </c>
    </row>
    <row r="44" spans="1:8">
      <c r="A44" s="1" t="s">
        <v>35</v>
      </c>
      <c r="B44" s="1" t="s">
        <v>29</v>
      </c>
      <c r="C44" s="1" t="s">
        <v>13</v>
      </c>
      <c r="D44" s="5">
        <v>1.0522166666666699</v>
      </c>
      <c r="E44">
        <v>0.44294</v>
      </c>
      <c r="F44" s="5">
        <f t="shared" si="0"/>
        <v>0.60927666666666991</v>
      </c>
      <c r="G44">
        <v>4</v>
      </c>
      <c r="H44">
        <f t="shared" si="1"/>
        <v>34.605877200000187</v>
      </c>
    </row>
    <row r="45" spans="1:8">
      <c r="A45" s="1" t="s">
        <v>35</v>
      </c>
      <c r="B45" s="1" t="s">
        <v>29</v>
      </c>
      <c r="C45" s="1" t="s">
        <v>14</v>
      </c>
      <c r="D45" s="5">
        <v>1.5546166666666701</v>
      </c>
      <c r="E45">
        <v>0.44294</v>
      </c>
      <c r="F45" s="5">
        <f t="shared" si="0"/>
        <v>1.11167666666667</v>
      </c>
      <c r="G45">
        <v>4</v>
      </c>
      <c r="H45">
        <f t="shared" si="1"/>
        <v>63.001525200000188</v>
      </c>
    </row>
    <row r="46" spans="1:8">
      <c r="A46" s="1" t="s">
        <v>35</v>
      </c>
      <c r="B46" s="1" t="s">
        <v>29</v>
      </c>
      <c r="C46" s="1" t="s">
        <v>15</v>
      </c>
      <c r="D46" s="5">
        <v>1.16251666666667</v>
      </c>
      <c r="E46">
        <v>0.44294</v>
      </c>
      <c r="F46" s="5">
        <f t="shared" si="0"/>
        <v>0.71957666666666997</v>
      </c>
      <c r="G46">
        <v>4</v>
      </c>
      <c r="H46">
        <f t="shared" si="1"/>
        <v>40.840033200000192</v>
      </c>
    </row>
    <row r="47" spans="1:8">
      <c r="A47" s="1" t="s">
        <v>35</v>
      </c>
      <c r="B47" s="1" t="s">
        <v>29</v>
      </c>
      <c r="C47" s="1" t="s">
        <v>17</v>
      </c>
      <c r="D47" s="5">
        <v>0.900216666666667</v>
      </c>
      <c r="E47">
        <v>0.44294</v>
      </c>
      <c r="F47" s="5">
        <f t="shared" si="0"/>
        <v>0.457276666666667</v>
      </c>
      <c r="G47">
        <v>4</v>
      </c>
      <c r="H47">
        <f t="shared" si="1"/>
        <v>26.014837200000017</v>
      </c>
    </row>
    <row r="48" spans="1:8">
      <c r="A48" s="1" t="s">
        <v>35</v>
      </c>
      <c r="B48" s="1" t="s">
        <v>29</v>
      </c>
      <c r="C48" s="1" t="s">
        <v>18</v>
      </c>
      <c r="D48" s="5">
        <v>1.38021666666667</v>
      </c>
      <c r="E48">
        <v>0.44294</v>
      </c>
      <c r="F48" s="5">
        <f t="shared" si="0"/>
        <v>0.93727666666666998</v>
      </c>
      <c r="G48">
        <v>4</v>
      </c>
      <c r="H48">
        <f t="shared" si="1"/>
        <v>53.144437200000191</v>
      </c>
    </row>
    <row r="49" spans="1:8">
      <c r="A49" s="1" t="s">
        <v>35</v>
      </c>
      <c r="B49" s="1" t="s">
        <v>29</v>
      </c>
      <c r="C49" s="1" t="s">
        <v>19</v>
      </c>
      <c r="D49" s="5">
        <v>1.10021666666667</v>
      </c>
      <c r="E49">
        <v>0.44294</v>
      </c>
      <c r="F49" s="5">
        <f t="shared" si="0"/>
        <v>0.65727666666666995</v>
      </c>
      <c r="G49">
        <v>4</v>
      </c>
      <c r="H49">
        <f t="shared" si="1"/>
        <v>37.318837200000189</v>
      </c>
    </row>
    <row r="50" spans="1:8">
      <c r="A50" s="1" t="s">
        <v>35</v>
      </c>
      <c r="B50" s="1" t="s">
        <v>29</v>
      </c>
      <c r="C50" s="1" t="s">
        <v>21</v>
      </c>
      <c r="D50" s="5">
        <v>0.95881666666666698</v>
      </c>
      <c r="E50">
        <v>0.44294</v>
      </c>
      <c r="F50" s="5">
        <f t="shared" si="0"/>
        <v>0.51587666666666698</v>
      </c>
      <c r="G50">
        <v>4</v>
      </c>
      <c r="H50">
        <f t="shared" si="1"/>
        <v>29.326909200000017</v>
      </c>
    </row>
    <row r="51" spans="1:8">
      <c r="A51" s="1" t="s">
        <v>35</v>
      </c>
      <c r="B51" s="1" t="s">
        <v>29</v>
      </c>
      <c r="C51" s="1" t="s">
        <v>22</v>
      </c>
      <c r="D51" s="5">
        <v>1.0642166666666699</v>
      </c>
      <c r="E51">
        <v>0.44294</v>
      </c>
      <c r="F51" s="5">
        <f t="shared" si="0"/>
        <v>0.62127666666666992</v>
      </c>
      <c r="G51">
        <v>4</v>
      </c>
      <c r="H51">
        <f t="shared" si="1"/>
        <v>35.284117200000189</v>
      </c>
    </row>
    <row r="52" spans="1:8">
      <c r="A52" s="1" t="s">
        <v>35</v>
      </c>
      <c r="B52" s="1" t="s">
        <v>29</v>
      </c>
      <c r="C52" s="1" t="s">
        <v>23</v>
      </c>
      <c r="D52" s="5">
        <v>1.2565166666666701</v>
      </c>
      <c r="E52">
        <v>0.44294</v>
      </c>
      <c r="F52" s="5">
        <f t="shared" si="0"/>
        <v>0.81357666666667006</v>
      </c>
      <c r="G52">
        <v>4</v>
      </c>
      <c r="H52">
        <f t="shared" si="1"/>
        <v>46.152913200000192</v>
      </c>
    </row>
    <row r="53" spans="1:8">
      <c r="A53" s="1" t="s">
        <v>35</v>
      </c>
      <c r="B53" s="1" t="s">
        <v>29</v>
      </c>
      <c r="C53" s="1" t="s">
        <v>25</v>
      </c>
      <c r="D53" s="5">
        <v>1.0303166666666701</v>
      </c>
      <c r="E53">
        <v>0.44294</v>
      </c>
      <c r="F53" s="5">
        <f t="shared" si="0"/>
        <v>0.5873766666666701</v>
      </c>
      <c r="G53">
        <v>4</v>
      </c>
      <c r="H53">
        <f t="shared" si="1"/>
        <v>33.368089200000192</v>
      </c>
    </row>
    <row r="54" spans="1:8">
      <c r="A54" s="1" t="s">
        <v>35</v>
      </c>
      <c r="B54" s="1" t="s">
        <v>29</v>
      </c>
      <c r="C54" s="1" t="s">
        <v>26</v>
      </c>
      <c r="D54" s="5">
        <v>1.07771666666667</v>
      </c>
      <c r="E54">
        <v>0.44294</v>
      </c>
      <c r="F54" s="5">
        <f t="shared" si="0"/>
        <v>0.63477666666666999</v>
      </c>
      <c r="G54">
        <v>4</v>
      </c>
      <c r="H54">
        <f t="shared" si="1"/>
        <v>36.047137200000186</v>
      </c>
    </row>
    <row r="55" spans="1:8">
      <c r="A55" s="1" t="s">
        <v>35</v>
      </c>
      <c r="B55" s="1" t="s">
        <v>29</v>
      </c>
      <c r="C55" s="1" t="s">
        <v>27</v>
      </c>
      <c r="D55" s="5">
        <v>1.0690166666666701</v>
      </c>
      <c r="E55">
        <v>0.44294</v>
      </c>
      <c r="F55" s="5">
        <f t="shared" si="0"/>
        <v>0.62607666666667006</v>
      </c>
      <c r="G55">
        <v>4</v>
      </c>
      <c r="H55">
        <f t="shared" si="1"/>
        <v>35.555413200000196</v>
      </c>
    </row>
    <row r="56" spans="1:8">
      <c r="A56" s="1" t="s">
        <v>35</v>
      </c>
      <c r="B56" s="1" t="s">
        <v>30</v>
      </c>
      <c r="C56" s="1" t="s">
        <v>5</v>
      </c>
      <c r="D56" s="5">
        <v>1.3939999999999999</v>
      </c>
      <c r="E56">
        <v>0.44294</v>
      </c>
      <c r="F56" s="5">
        <f t="shared" si="0"/>
        <v>0.95105999999999991</v>
      </c>
      <c r="G56">
        <v>4</v>
      </c>
      <c r="H56">
        <f t="shared" si="1"/>
        <v>53.923471199999994</v>
      </c>
    </row>
    <row r="57" spans="1:8">
      <c r="A57" s="1" t="s">
        <v>35</v>
      </c>
      <c r="B57" s="1" t="s">
        <v>30</v>
      </c>
      <c r="C57" s="1" t="s">
        <v>6</v>
      </c>
      <c r="D57" s="5">
        <v>1.0805</v>
      </c>
      <c r="E57">
        <v>0.44294</v>
      </c>
      <c r="F57" s="5">
        <f t="shared" si="0"/>
        <v>0.63756000000000002</v>
      </c>
      <c r="G57">
        <v>4</v>
      </c>
      <c r="H57">
        <f t="shared" si="1"/>
        <v>36.204451200000001</v>
      </c>
    </row>
    <row r="58" spans="1:8">
      <c r="A58" s="1" t="s">
        <v>35</v>
      </c>
      <c r="B58" s="1" t="s">
        <v>30</v>
      </c>
      <c r="C58" s="1" t="s">
        <v>7</v>
      </c>
      <c r="D58" s="5">
        <v>1.0356000000000001</v>
      </c>
      <c r="E58">
        <v>0.44294</v>
      </c>
      <c r="F58" s="5">
        <f t="shared" si="0"/>
        <v>0.59266000000000008</v>
      </c>
      <c r="G58">
        <v>4</v>
      </c>
      <c r="H58">
        <f t="shared" si="1"/>
        <v>33.666703200000008</v>
      </c>
    </row>
    <row r="59" spans="1:8">
      <c r="A59" s="1" t="s">
        <v>35</v>
      </c>
      <c r="B59" s="1" t="s">
        <v>30</v>
      </c>
      <c r="C59" s="1" t="s">
        <v>9</v>
      </c>
      <c r="D59" s="5">
        <v>0.877</v>
      </c>
      <c r="E59">
        <v>0.44294</v>
      </c>
      <c r="F59" s="5">
        <f t="shared" si="0"/>
        <v>0.43406</v>
      </c>
      <c r="G59">
        <v>4</v>
      </c>
      <c r="H59">
        <f t="shared" si="1"/>
        <v>24.702631200000003</v>
      </c>
    </row>
    <row r="60" spans="1:8">
      <c r="A60" s="1" t="s">
        <v>35</v>
      </c>
      <c r="B60" s="1" t="s">
        <v>30</v>
      </c>
      <c r="C60" s="1" t="s">
        <v>10</v>
      </c>
      <c r="D60" s="5">
        <v>0.84109999999999996</v>
      </c>
      <c r="E60">
        <v>0.44294</v>
      </c>
      <c r="F60" s="5">
        <f t="shared" si="0"/>
        <v>0.39815999999999996</v>
      </c>
      <c r="G60">
        <v>4</v>
      </c>
      <c r="H60">
        <f t="shared" si="1"/>
        <v>22.6735632</v>
      </c>
    </row>
    <row r="61" spans="1:8">
      <c r="A61" s="1" t="s">
        <v>35</v>
      </c>
      <c r="B61" s="1" t="s">
        <v>30</v>
      </c>
      <c r="C61" s="1" t="s">
        <v>11</v>
      </c>
      <c r="D61" s="5">
        <v>0.75570000000000004</v>
      </c>
      <c r="E61">
        <v>0.44294</v>
      </c>
      <c r="F61" s="5">
        <f t="shared" si="0"/>
        <v>0.31276000000000004</v>
      </c>
      <c r="G61">
        <v>4</v>
      </c>
      <c r="H61">
        <f t="shared" si="1"/>
        <v>17.846755200000004</v>
      </c>
    </row>
    <row r="62" spans="1:8">
      <c r="A62" s="1" t="s">
        <v>35</v>
      </c>
      <c r="B62" s="1" t="s">
        <v>30</v>
      </c>
      <c r="C62" s="1" t="s">
        <v>13</v>
      </c>
      <c r="D62" s="5">
        <v>1.1323000000000001</v>
      </c>
      <c r="E62">
        <v>0.44294</v>
      </c>
      <c r="F62" s="5">
        <f t="shared" si="0"/>
        <v>0.68936000000000008</v>
      </c>
      <c r="G62">
        <v>4</v>
      </c>
      <c r="H62">
        <f t="shared" si="1"/>
        <v>39.132187200000004</v>
      </c>
    </row>
    <row r="63" spans="1:8">
      <c r="A63" s="1" t="s">
        <v>35</v>
      </c>
      <c r="B63" s="1" t="s">
        <v>30</v>
      </c>
      <c r="C63" s="1" t="s">
        <v>14</v>
      </c>
      <c r="D63" s="5">
        <v>1.7298</v>
      </c>
      <c r="E63">
        <v>0.44294</v>
      </c>
      <c r="F63" s="5">
        <f t="shared" si="0"/>
        <v>1.2868599999999999</v>
      </c>
      <c r="G63">
        <v>4</v>
      </c>
      <c r="H63">
        <f t="shared" si="1"/>
        <v>72.902887199999981</v>
      </c>
    </row>
    <row r="64" spans="1:8">
      <c r="A64" s="1" t="s">
        <v>35</v>
      </c>
      <c r="B64" s="1" t="s">
        <v>30</v>
      </c>
      <c r="C64" s="1" t="s">
        <v>15</v>
      </c>
      <c r="D64" s="5">
        <v>1.4162999999999999</v>
      </c>
      <c r="E64">
        <v>0.44294</v>
      </c>
      <c r="F64" s="5">
        <f t="shared" si="0"/>
        <v>0.97335999999999989</v>
      </c>
      <c r="G64">
        <v>4</v>
      </c>
      <c r="H64">
        <f t="shared" si="1"/>
        <v>55.183867200000002</v>
      </c>
    </row>
    <row r="65" spans="1:8">
      <c r="A65" s="1" t="s">
        <v>35</v>
      </c>
      <c r="B65" s="1" t="s">
        <v>30</v>
      </c>
      <c r="C65" s="1" t="s">
        <v>17</v>
      </c>
      <c r="D65" s="5">
        <v>1.0764</v>
      </c>
      <c r="E65">
        <v>0.44294</v>
      </c>
      <c r="F65" s="5">
        <f t="shared" si="0"/>
        <v>0.63346000000000002</v>
      </c>
      <c r="G65">
        <v>4</v>
      </c>
      <c r="H65">
        <f t="shared" si="1"/>
        <v>35.9727192</v>
      </c>
    </row>
    <row r="66" spans="1:8">
      <c r="A66" s="1" t="s">
        <v>35</v>
      </c>
      <c r="B66" s="1" t="s">
        <v>30</v>
      </c>
      <c r="C66" s="1" t="s">
        <v>18</v>
      </c>
      <c r="D66" s="5">
        <v>0.95120000000000005</v>
      </c>
      <c r="E66">
        <v>0.44294</v>
      </c>
      <c r="F66" s="5">
        <f t="shared" si="0"/>
        <v>0.50826000000000005</v>
      </c>
      <c r="G66">
        <v>4</v>
      </c>
      <c r="H66">
        <f t="shared" si="1"/>
        <v>28.896415200000003</v>
      </c>
    </row>
    <row r="67" spans="1:8">
      <c r="A67" s="1" t="s">
        <v>35</v>
      </c>
      <c r="B67" s="1" t="s">
        <v>30</v>
      </c>
      <c r="C67" s="1" t="s">
        <v>19</v>
      </c>
      <c r="D67" s="5">
        <v>0.93569999999999998</v>
      </c>
      <c r="E67">
        <v>0.44294</v>
      </c>
      <c r="F67" s="5">
        <f t="shared" ref="F67:F130" si="2">D67-E67</f>
        <v>0.49275999999999998</v>
      </c>
      <c r="G67">
        <v>4</v>
      </c>
      <c r="H67">
        <f t="shared" si="1"/>
        <v>28.020355200000001</v>
      </c>
    </row>
    <row r="68" spans="1:8">
      <c r="A68" s="1" t="s">
        <v>35</v>
      </c>
      <c r="B68" s="1" t="s">
        <v>30</v>
      </c>
      <c r="C68" s="1" t="s">
        <v>21</v>
      </c>
      <c r="D68" s="5">
        <v>1.0254000000000001</v>
      </c>
      <c r="E68">
        <v>0.44294</v>
      </c>
      <c r="F68" s="5">
        <f t="shared" si="2"/>
        <v>0.58246000000000009</v>
      </c>
      <c r="G68">
        <v>4</v>
      </c>
      <c r="H68">
        <f t="shared" ref="H68:H131" si="3">0.1413*(F68+0.003)*G68/0.01</f>
        <v>33.090199200000008</v>
      </c>
    </row>
    <row r="69" spans="1:8">
      <c r="A69" s="1" t="s">
        <v>35</v>
      </c>
      <c r="B69" s="1" t="s">
        <v>30</v>
      </c>
      <c r="C69" s="1" t="s">
        <v>22</v>
      </c>
      <c r="D69" s="5">
        <v>1.0049999999999999</v>
      </c>
      <c r="E69">
        <v>0.44294</v>
      </c>
      <c r="F69" s="5">
        <f t="shared" si="2"/>
        <v>0.56205999999999989</v>
      </c>
      <c r="G69">
        <v>4</v>
      </c>
      <c r="H69">
        <f t="shared" si="3"/>
        <v>31.937191199999997</v>
      </c>
    </row>
    <row r="70" spans="1:8">
      <c r="A70" s="1" t="s">
        <v>35</v>
      </c>
      <c r="B70" s="1" t="s">
        <v>30</v>
      </c>
      <c r="C70" s="1" t="s">
        <v>23</v>
      </c>
      <c r="D70" s="5">
        <v>0.998</v>
      </c>
      <c r="E70">
        <v>0.44294</v>
      </c>
      <c r="F70" s="5">
        <f t="shared" si="2"/>
        <v>0.55506</v>
      </c>
      <c r="G70">
        <v>4</v>
      </c>
      <c r="H70">
        <f t="shared" si="3"/>
        <v>31.541551200000001</v>
      </c>
    </row>
    <row r="71" spans="1:8">
      <c r="A71" s="1" t="s">
        <v>35</v>
      </c>
      <c r="B71" s="1" t="s">
        <v>30</v>
      </c>
      <c r="C71" s="1" t="s">
        <v>25</v>
      </c>
      <c r="D71" s="5">
        <v>1.2621</v>
      </c>
      <c r="E71">
        <v>0.44294</v>
      </c>
      <c r="F71" s="5">
        <f t="shared" si="2"/>
        <v>0.81916</v>
      </c>
      <c r="G71">
        <v>4</v>
      </c>
      <c r="H71">
        <f t="shared" si="3"/>
        <v>46.468483200000001</v>
      </c>
    </row>
    <row r="72" spans="1:8">
      <c r="A72" s="1" t="s">
        <v>35</v>
      </c>
      <c r="B72" s="1" t="s">
        <v>30</v>
      </c>
      <c r="C72" s="1" t="s">
        <v>26</v>
      </c>
      <c r="D72" s="5">
        <v>1.2645999999999999</v>
      </c>
      <c r="E72">
        <v>0.44294</v>
      </c>
      <c r="F72" s="5">
        <f t="shared" si="2"/>
        <v>0.82165999999999995</v>
      </c>
      <c r="G72">
        <v>4</v>
      </c>
      <c r="H72">
        <f t="shared" si="3"/>
        <v>46.609783199999995</v>
      </c>
    </row>
    <row r="73" spans="1:8">
      <c r="A73" s="1" t="s">
        <v>35</v>
      </c>
      <c r="B73" s="1" t="s">
        <v>30</v>
      </c>
      <c r="C73" s="1" t="s">
        <v>27</v>
      </c>
      <c r="D73" s="5">
        <v>1.3934</v>
      </c>
      <c r="E73">
        <v>0.44294</v>
      </c>
      <c r="F73" s="5">
        <f t="shared" si="2"/>
        <v>0.95045999999999997</v>
      </c>
      <c r="G73">
        <v>4</v>
      </c>
      <c r="H73">
        <f t="shared" si="3"/>
        <v>53.889559200000001</v>
      </c>
    </row>
    <row r="74" spans="1:8">
      <c r="A74" s="1" t="s">
        <v>35</v>
      </c>
      <c r="B74" s="1" t="s">
        <v>31</v>
      </c>
      <c r="C74" s="1" t="s">
        <v>5</v>
      </c>
      <c r="D74" s="6">
        <v>0.58599999999999997</v>
      </c>
      <c r="E74">
        <v>0.20327999999999999</v>
      </c>
      <c r="F74" s="5">
        <f t="shared" si="2"/>
        <v>0.38271999999999995</v>
      </c>
      <c r="G74">
        <v>10</v>
      </c>
      <c r="H74">
        <f t="shared" si="3"/>
        <v>54.502235999999989</v>
      </c>
    </row>
    <row r="75" spans="1:8">
      <c r="A75" s="1" t="s">
        <v>35</v>
      </c>
      <c r="B75" s="1" t="s">
        <v>31</v>
      </c>
      <c r="C75" s="1" t="s">
        <v>6</v>
      </c>
      <c r="D75" s="5">
        <v>1.53606666666667</v>
      </c>
      <c r="E75">
        <v>0.44294</v>
      </c>
      <c r="F75" s="5">
        <f t="shared" si="2"/>
        <v>1.0931266666666701</v>
      </c>
      <c r="G75">
        <v>4</v>
      </c>
      <c r="H75">
        <f t="shared" si="3"/>
        <v>61.95307920000019</v>
      </c>
    </row>
    <row r="76" spans="1:8">
      <c r="A76" s="1" t="s">
        <v>35</v>
      </c>
      <c r="B76" s="1" t="s">
        <v>31</v>
      </c>
      <c r="C76" s="1" t="s">
        <v>7</v>
      </c>
      <c r="D76" s="5">
        <v>0.83586666666666698</v>
      </c>
      <c r="E76">
        <v>0.44294</v>
      </c>
      <c r="F76" s="5">
        <f t="shared" si="2"/>
        <v>0.39292666666666698</v>
      </c>
      <c r="G76">
        <v>4</v>
      </c>
      <c r="H76">
        <f t="shared" si="3"/>
        <v>22.37777520000002</v>
      </c>
    </row>
    <row r="77" spans="1:8">
      <c r="A77" s="1" t="s">
        <v>35</v>
      </c>
      <c r="B77" s="1" t="s">
        <v>31</v>
      </c>
      <c r="C77" s="1" t="s">
        <v>9</v>
      </c>
      <c r="D77" s="5">
        <v>1.21576666666667</v>
      </c>
      <c r="E77">
        <v>0.44294</v>
      </c>
      <c r="F77" s="5">
        <f t="shared" si="2"/>
        <v>0.77282666666666999</v>
      </c>
      <c r="G77">
        <v>4</v>
      </c>
      <c r="H77">
        <f t="shared" si="3"/>
        <v>43.849723200000192</v>
      </c>
    </row>
    <row r="78" spans="1:8">
      <c r="A78" s="1" t="s">
        <v>35</v>
      </c>
      <c r="B78" s="1" t="s">
        <v>31</v>
      </c>
      <c r="C78" s="1" t="s">
        <v>10</v>
      </c>
      <c r="D78" s="5">
        <v>0.886066666666667</v>
      </c>
      <c r="E78">
        <v>0.44294</v>
      </c>
      <c r="F78" s="5">
        <f t="shared" si="2"/>
        <v>0.443126666666667</v>
      </c>
      <c r="G78">
        <v>4</v>
      </c>
      <c r="H78">
        <f t="shared" si="3"/>
        <v>25.215079200000023</v>
      </c>
    </row>
    <row r="79" spans="1:8">
      <c r="A79" s="1" t="s">
        <v>35</v>
      </c>
      <c r="B79" s="1" t="s">
        <v>31</v>
      </c>
      <c r="C79" s="1" t="s">
        <v>11</v>
      </c>
      <c r="D79" s="5">
        <v>0.94436666666666702</v>
      </c>
      <c r="E79">
        <v>0.44294</v>
      </c>
      <c r="F79" s="5">
        <f t="shared" si="2"/>
        <v>0.50142666666666702</v>
      </c>
      <c r="G79">
        <v>4</v>
      </c>
      <c r="H79">
        <f t="shared" si="3"/>
        <v>28.51019520000002</v>
      </c>
    </row>
    <row r="80" spans="1:8">
      <c r="A80" s="1" t="s">
        <v>35</v>
      </c>
      <c r="B80" s="1" t="s">
        <v>31</v>
      </c>
      <c r="C80" s="1" t="s">
        <v>13</v>
      </c>
      <c r="D80" s="5">
        <v>1.2229666666666701</v>
      </c>
      <c r="E80">
        <v>0.44294</v>
      </c>
      <c r="F80" s="5">
        <f t="shared" si="2"/>
        <v>0.78002666666667009</v>
      </c>
      <c r="G80">
        <v>4</v>
      </c>
      <c r="H80">
        <f t="shared" si="3"/>
        <v>44.256667200000194</v>
      </c>
    </row>
    <row r="81" spans="1:8">
      <c r="A81" s="1" t="s">
        <v>35</v>
      </c>
      <c r="B81" s="1" t="s">
        <v>31</v>
      </c>
      <c r="C81" s="1" t="s">
        <v>14</v>
      </c>
      <c r="D81" s="5">
        <v>1.3983666666666701</v>
      </c>
      <c r="E81">
        <v>0.44294</v>
      </c>
      <c r="F81" s="5">
        <f t="shared" si="2"/>
        <v>0.95542666666667009</v>
      </c>
      <c r="G81">
        <v>4</v>
      </c>
      <c r="H81">
        <f t="shared" si="3"/>
        <v>54.170275200000191</v>
      </c>
    </row>
    <row r="82" spans="1:8">
      <c r="A82" s="1" t="s">
        <v>35</v>
      </c>
      <c r="B82" s="1" t="s">
        <v>31</v>
      </c>
      <c r="C82" s="1" t="s">
        <v>15</v>
      </c>
      <c r="D82" s="5">
        <v>1.16296666666667</v>
      </c>
      <c r="E82">
        <v>0.44294</v>
      </c>
      <c r="F82" s="5">
        <f t="shared" si="2"/>
        <v>0.72002666666667003</v>
      </c>
      <c r="G82">
        <v>4</v>
      </c>
      <c r="H82">
        <f t="shared" si="3"/>
        <v>40.865467200000197</v>
      </c>
    </row>
    <row r="83" spans="1:8">
      <c r="A83" s="1" t="s">
        <v>35</v>
      </c>
      <c r="B83" s="1" t="s">
        <v>31</v>
      </c>
      <c r="C83" s="1" t="s">
        <v>17</v>
      </c>
      <c r="D83" s="5">
        <v>0.97006666666666697</v>
      </c>
      <c r="E83">
        <v>0.44294</v>
      </c>
      <c r="F83" s="5">
        <f t="shared" si="2"/>
        <v>0.52712666666666697</v>
      </c>
      <c r="G83">
        <v>4</v>
      </c>
      <c r="H83">
        <f t="shared" si="3"/>
        <v>29.962759200000015</v>
      </c>
    </row>
    <row r="84" spans="1:8">
      <c r="A84" s="1" t="s">
        <v>35</v>
      </c>
      <c r="B84" s="1" t="s">
        <v>31</v>
      </c>
      <c r="C84" s="1" t="s">
        <v>18</v>
      </c>
      <c r="D84" s="5">
        <v>1.3924666666666701</v>
      </c>
      <c r="E84">
        <v>0.44294</v>
      </c>
      <c r="F84" s="5">
        <f t="shared" si="2"/>
        <v>0.94952666666667007</v>
      </c>
      <c r="G84">
        <v>4</v>
      </c>
      <c r="H84">
        <f t="shared" si="3"/>
        <v>53.836807200000187</v>
      </c>
    </row>
    <row r="85" spans="1:8">
      <c r="A85" s="1" t="s">
        <v>35</v>
      </c>
      <c r="B85" s="1" t="s">
        <v>31</v>
      </c>
      <c r="C85" s="1" t="s">
        <v>19</v>
      </c>
      <c r="D85" s="5">
        <v>1.1318666666666699</v>
      </c>
      <c r="E85">
        <v>0.44294</v>
      </c>
      <c r="F85" s="5">
        <f t="shared" si="2"/>
        <v>0.68892666666666991</v>
      </c>
      <c r="G85">
        <v>4</v>
      </c>
      <c r="H85">
        <f t="shared" si="3"/>
        <v>39.107695200000187</v>
      </c>
    </row>
    <row r="86" spans="1:8">
      <c r="A86" s="1" t="s">
        <v>35</v>
      </c>
      <c r="B86" s="1" t="s">
        <v>31</v>
      </c>
      <c r="C86" s="1" t="s">
        <v>21</v>
      </c>
      <c r="D86" s="5">
        <v>1.5672666666666699</v>
      </c>
      <c r="E86">
        <v>0.44294</v>
      </c>
      <c r="F86" s="5">
        <f t="shared" si="2"/>
        <v>1.1243266666666698</v>
      </c>
      <c r="G86">
        <v>4</v>
      </c>
      <c r="H86">
        <f t="shared" si="3"/>
        <v>63.716503200000176</v>
      </c>
    </row>
    <row r="87" spans="1:8">
      <c r="A87" s="1" t="s">
        <v>35</v>
      </c>
      <c r="B87" s="1" t="s">
        <v>31</v>
      </c>
      <c r="C87" s="1" t="s">
        <v>22</v>
      </c>
      <c r="D87" s="5">
        <v>0.93486666666666696</v>
      </c>
      <c r="E87">
        <v>0.44294</v>
      </c>
      <c r="F87" s="5">
        <f t="shared" si="2"/>
        <v>0.49192666666666696</v>
      </c>
      <c r="G87">
        <v>4</v>
      </c>
      <c r="H87">
        <f t="shared" si="3"/>
        <v>27.973255200000018</v>
      </c>
    </row>
    <row r="88" spans="1:8">
      <c r="A88" s="1" t="s">
        <v>35</v>
      </c>
      <c r="B88" s="1" t="s">
        <v>31</v>
      </c>
      <c r="C88" s="1" t="s">
        <v>23</v>
      </c>
      <c r="D88" s="5">
        <v>0.91976666666666695</v>
      </c>
      <c r="E88">
        <v>0.44294</v>
      </c>
      <c r="F88" s="5">
        <f t="shared" si="2"/>
        <v>0.47682666666666695</v>
      </c>
      <c r="G88">
        <v>4</v>
      </c>
      <c r="H88">
        <f t="shared" si="3"/>
        <v>27.119803200000021</v>
      </c>
    </row>
    <row r="89" spans="1:8">
      <c r="A89" s="1" t="s">
        <v>35</v>
      </c>
      <c r="B89" s="1" t="s">
        <v>31</v>
      </c>
      <c r="C89" s="1" t="s">
        <v>25</v>
      </c>
      <c r="D89" s="6">
        <v>0.61199999999999999</v>
      </c>
      <c r="E89">
        <v>0.20327999999999999</v>
      </c>
      <c r="F89" s="5">
        <f t="shared" si="2"/>
        <v>0.40871999999999997</v>
      </c>
      <c r="G89">
        <v>10</v>
      </c>
      <c r="H89">
        <f t="shared" si="3"/>
        <v>58.176035999999996</v>
      </c>
    </row>
    <row r="90" spans="1:8">
      <c r="A90" s="1" t="s">
        <v>35</v>
      </c>
      <c r="B90" s="1" t="s">
        <v>31</v>
      </c>
      <c r="C90" s="1" t="s">
        <v>26</v>
      </c>
      <c r="D90" s="5">
        <v>0.94106666666666705</v>
      </c>
      <c r="E90">
        <v>0.44294</v>
      </c>
      <c r="F90" s="5">
        <f t="shared" si="2"/>
        <v>0.49812666666666705</v>
      </c>
      <c r="G90">
        <v>4</v>
      </c>
      <c r="H90">
        <f t="shared" si="3"/>
        <v>28.323679200000022</v>
      </c>
    </row>
    <row r="91" spans="1:8">
      <c r="A91" s="1" t="s">
        <v>35</v>
      </c>
      <c r="B91" s="1" t="s">
        <v>31</v>
      </c>
      <c r="C91" s="1" t="s">
        <v>27</v>
      </c>
      <c r="D91" s="5">
        <v>1.30626666666667</v>
      </c>
      <c r="E91">
        <v>0.44294</v>
      </c>
      <c r="F91" s="5">
        <f t="shared" si="2"/>
        <v>0.86332666666667002</v>
      </c>
      <c r="G91">
        <v>4</v>
      </c>
      <c r="H91">
        <f t="shared" si="3"/>
        <v>48.964783200000191</v>
      </c>
    </row>
    <row r="92" spans="1:8">
      <c r="A92" s="1" t="s">
        <v>35</v>
      </c>
      <c r="B92" s="1" t="s">
        <v>32</v>
      </c>
      <c r="C92" s="2" t="s">
        <v>4</v>
      </c>
      <c r="D92" s="5">
        <v>1.1403666666666701</v>
      </c>
      <c r="E92">
        <v>0.44294</v>
      </c>
      <c r="F92" s="5">
        <f t="shared" si="2"/>
        <v>0.69742666666667008</v>
      </c>
      <c r="G92">
        <v>4</v>
      </c>
      <c r="H92">
        <f t="shared" si="3"/>
        <v>39.588115200000196</v>
      </c>
    </row>
    <row r="93" spans="1:8">
      <c r="A93" s="1" t="s">
        <v>35</v>
      </c>
      <c r="B93" s="1" t="s">
        <v>32</v>
      </c>
      <c r="C93" s="2" t="s">
        <v>6</v>
      </c>
      <c r="D93" s="5">
        <v>1.09496666666667</v>
      </c>
      <c r="E93">
        <v>0.44294</v>
      </c>
      <c r="F93" s="5">
        <f t="shared" si="2"/>
        <v>0.65202666666666997</v>
      </c>
      <c r="G93">
        <v>4</v>
      </c>
      <c r="H93">
        <f t="shared" si="3"/>
        <v>37.022107200000185</v>
      </c>
    </row>
    <row r="94" spans="1:8">
      <c r="A94" s="1" t="s">
        <v>35</v>
      </c>
      <c r="B94" s="1" t="s">
        <v>32</v>
      </c>
      <c r="C94" s="2" t="s">
        <v>7</v>
      </c>
      <c r="D94" s="5">
        <v>1.26566666666667</v>
      </c>
      <c r="E94">
        <v>0.44294</v>
      </c>
      <c r="F94" s="5">
        <f t="shared" si="2"/>
        <v>0.82272666666667005</v>
      </c>
      <c r="G94">
        <v>4</v>
      </c>
      <c r="H94">
        <f t="shared" si="3"/>
        <v>46.670071200000194</v>
      </c>
    </row>
    <row r="95" spans="1:8">
      <c r="A95" s="1" t="s">
        <v>35</v>
      </c>
      <c r="B95" s="1" t="s">
        <v>32</v>
      </c>
      <c r="C95" s="2" t="s">
        <v>8</v>
      </c>
      <c r="D95" s="5">
        <v>1.35906666666667</v>
      </c>
      <c r="E95">
        <v>0.44294</v>
      </c>
      <c r="F95" s="5">
        <f t="shared" si="2"/>
        <v>0.91612666666666998</v>
      </c>
      <c r="G95">
        <v>4</v>
      </c>
      <c r="H95">
        <f t="shared" si="3"/>
        <v>51.949039200000193</v>
      </c>
    </row>
    <row r="96" spans="1:8">
      <c r="A96" s="1" t="s">
        <v>35</v>
      </c>
      <c r="B96" s="1" t="s">
        <v>32</v>
      </c>
      <c r="C96" s="2" t="s">
        <v>10</v>
      </c>
      <c r="D96" s="5">
        <v>1.21786666666667</v>
      </c>
      <c r="E96">
        <v>0.44294</v>
      </c>
      <c r="F96" s="5">
        <f t="shared" si="2"/>
        <v>0.77492666666666998</v>
      </c>
      <c r="G96">
        <v>4</v>
      </c>
      <c r="H96">
        <f t="shared" si="3"/>
        <v>43.968415200000187</v>
      </c>
    </row>
    <row r="97" spans="1:8">
      <c r="A97" s="1" t="s">
        <v>35</v>
      </c>
      <c r="B97" s="1" t="s">
        <v>32</v>
      </c>
      <c r="C97" s="2" t="s">
        <v>11</v>
      </c>
      <c r="D97" s="5">
        <v>1.1083666666666701</v>
      </c>
      <c r="E97">
        <v>0.44294</v>
      </c>
      <c r="F97" s="5">
        <f t="shared" si="2"/>
        <v>0.66542666666667005</v>
      </c>
      <c r="G97">
        <v>4</v>
      </c>
      <c r="H97">
        <f t="shared" si="3"/>
        <v>37.779475200000192</v>
      </c>
    </row>
    <row r="98" spans="1:8">
      <c r="A98" s="1" t="s">
        <v>35</v>
      </c>
      <c r="B98" s="1" t="s">
        <v>32</v>
      </c>
      <c r="C98" s="2" t="s">
        <v>12</v>
      </c>
      <c r="D98" s="5">
        <v>0.85526666666666695</v>
      </c>
      <c r="E98">
        <v>0.44294</v>
      </c>
      <c r="F98" s="5">
        <f t="shared" si="2"/>
        <v>0.41232666666666695</v>
      </c>
      <c r="G98">
        <v>4</v>
      </c>
      <c r="H98">
        <f t="shared" si="3"/>
        <v>23.474263200000017</v>
      </c>
    </row>
    <row r="99" spans="1:8">
      <c r="A99" s="1" t="s">
        <v>35</v>
      </c>
      <c r="B99" s="1" t="s">
        <v>32</v>
      </c>
      <c r="C99" s="2" t="s">
        <v>14</v>
      </c>
      <c r="D99" s="5">
        <v>1.40126666666667</v>
      </c>
      <c r="E99">
        <v>0.44294</v>
      </c>
      <c r="F99" s="5">
        <f t="shared" si="2"/>
        <v>0.95832666666666999</v>
      </c>
      <c r="G99">
        <v>4</v>
      </c>
      <c r="H99">
        <f t="shared" si="3"/>
        <v>54.334183200000197</v>
      </c>
    </row>
    <row r="100" spans="1:8">
      <c r="A100" s="1" t="s">
        <v>35</v>
      </c>
      <c r="B100" s="1" t="s">
        <v>32</v>
      </c>
      <c r="C100" s="2" t="s">
        <v>15</v>
      </c>
      <c r="D100" s="5">
        <v>1.62476666666667</v>
      </c>
      <c r="E100">
        <v>0.44294</v>
      </c>
      <c r="F100" s="5">
        <f t="shared" si="2"/>
        <v>1.1818266666666699</v>
      </c>
      <c r="G100">
        <v>4</v>
      </c>
      <c r="H100">
        <f t="shared" si="3"/>
        <v>66.966403200000173</v>
      </c>
    </row>
    <row r="101" spans="1:8">
      <c r="A101" s="1" t="s">
        <v>35</v>
      </c>
      <c r="B101" s="1" t="s">
        <v>32</v>
      </c>
      <c r="C101" s="2" t="s">
        <v>16</v>
      </c>
      <c r="D101" s="5">
        <v>0.93276666666666697</v>
      </c>
      <c r="E101">
        <v>0.44294</v>
      </c>
      <c r="F101" s="5">
        <f t="shared" si="2"/>
        <v>0.48982666666666697</v>
      </c>
      <c r="G101">
        <v>4</v>
      </c>
      <c r="H101">
        <f t="shared" si="3"/>
        <v>27.854563200000019</v>
      </c>
    </row>
    <row r="102" spans="1:8">
      <c r="A102" s="1" t="s">
        <v>35</v>
      </c>
      <c r="B102" s="1" t="s">
        <v>32</v>
      </c>
      <c r="C102" s="2" t="s">
        <v>18</v>
      </c>
      <c r="D102" s="5">
        <v>1.50386666666667</v>
      </c>
      <c r="E102">
        <v>0.44294</v>
      </c>
      <c r="F102" s="5">
        <f t="shared" si="2"/>
        <v>1.0609266666666701</v>
      </c>
      <c r="G102">
        <v>4</v>
      </c>
      <c r="H102">
        <f t="shared" si="3"/>
        <v>60.133135200000197</v>
      </c>
    </row>
    <row r="103" spans="1:8">
      <c r="A103" s="1" t="s">
        <v>35</v>
      </c>
      <c r="B103" s="1" t="s">
        <v>32</v>
      </c>
      <c r="C103" s="2" t="s">
        <v>19</v>
      </c>
      <c r="D103" s="5">
        <v>0.85196666666666698</v>
      </c>
      <c r="E103">
        <v>0.44294</v>
      </c>
      <c r="F103" s="5">
        <f t="shared" si="2"/>
        <v>0.40902666666666698</v>
      </c>
      <c r="G103">
        <v>4</v>
      </c>
      <c r="H103">
        <f t="shared" si="3"/>
        <v>23.28774720000002</v>
      </c>
    </row>
    <row r="104" spans="1:8">
      <c r="A104" s="1" t="s">
        <v>35</v>
      </c>
      <c r="B104" s="1" t="s">
        <v>32</v>
      </c>
      <c r="C104" s="2" t="s">
        <v>20</v>
      </c>
      <c r="D104" s="5">
        <v>0.804466666666667</v>
      </c>
      <c r="E104">
        <v>0.44294</v>
      </c>
      <c r="F104" s="5">
        <f t="shared" si="2"/>
        <v>0.361526666666667</v>
      </c>
      <c r="G104">
        <v>4</v>
      </c>
      <c r="H104">
        <f t="shared" si="3"/>
        <v>20.60304720000002</v>
      </c>
    </row>
    <row r="105" spans="1:8">
      <c r="A105" s="1" t="s">
        <v>35</v>
      </c>
      <c r="B105" s="1" t="s">
        <v>32</v>
      </c>
      <c r="C105" s="2" t="s">
        <v>22</v>
      </c>
      <c r="D105" s="5">
        <v>1.3961666666666701</v>
      </c>
      <c r="E105">
        <v>0.44294</v>
      </c>
      <c r="F105" s="5">
        <f t="shared" si="2"/>
        <v>0.95322666666667011</v>
      </c>
      <c r="G105">
        <v>4</v>
      </c>
      <c r="H105">
        <f t="shared" si="3"/>
        <v>54.045931200000197</v>
      </c>
    </row>
    <row r="106" spans="1:8">
      <c r="A106" s="1" t="s">
        <v>35</v>
      </c>
      <c r="B106" s="1" t="s">
        <v>32</v>
      </c>
      <c r="C106" s="2" t="s">
        <v>23</v>
      </c>
      <c r="D106" s="5">
        <v>1.02986666666667</v>
      </c>
      <c r="E106">
        <v>0.44294</v>
      </c>
      <c r="F106" s="5">
        <f t="shared" si="2"/>
        <v>0.58692666666667004</v>
      </c>
      <c r="G106">
        <v>4</v>
      </c>
      <c r="H106">
        <f t="shared" si="3"/>
        <v>33.342655200000195</v>
      </c>
    </row>
    <row r="107" spans="1:8">
      <c r="A107" s="1" t="s">
        <v>35</v>
      </c>
      <c r="B107" s="1" t="s">
        <v>32</v>
      </c>
      <c r="C107" s="2" t="s">
        <v>24</v>
      </c>
      <c r="D107" s="5">
        <v>1.1341666666666701</v>
      </c>
      <c r="E107">
        <v>0.44294</v>
      </c>
      <c r="F107" s="5">
        <f t="shared" si="2"/>
        <v>0.6912266666666701</v>
      </c>
      <c r="G107">
        <v>4</v>
      </c>
      <c r="H107">
        <f t="shared" si="3"/>
        <v>39.237691200000192</v>
      </c>
    </row>
    <row r="108" spans="1:8">
      <c r="A108" s="1" t="s">
        <v>35</v>
      </c>
      <c r="B108" s="1" t="s">
        <v>32</v>
      </c>
      <c r="C108" s="2" t="s">
        <v>26</v>
      </c>
      <c r="D108" s="5">
        <v>0.98966666666666703</v>
      </c>
      <c r="E108">
        <v>0.44294</v>
      </c>
      <c r="F108" s="5">
        <f t="shared" si="2"/>
        <v>0.54672666666666703</v>
      </c>
      <c r="G108">
        <v>4</v>
      </c>
      <c r="H108">
        <f t="shared" si="3"/>
        <v>31.070551200000022</v>
      </c>
    </row>
    <row r="109" spans="1:8">
      <c r="A109" s="1" t="s">
        <v>35</v>
      </c>
      <c r="B109" s="1" t="s">
        <v>32</v>
      </c>
      <c r="C109" s="2" t="s">
        <v>27</v>
      </c>
      <c r="D109" s="5">
        <v>0.81626666666666703</v>
      </c>
      <c r="E109">
        <v>0.44294</v>
      </c>
      <c r="F109" s="5">
        <f t="shared" si="2"/>
        <v>0.37332666666666703</v>
      </c>
      <c r="G109">
        <v>4</v>
      </c>
      <c r="H109">
        <f t="shared" si="3"/>
        <v>21.269983200000024</v>
      </c>
    </row>
    <row r="110" spans="1:8">
      <c r="A110" s="1" t="s">
        <v>35</v>
      </c>
      <c r="B110" s="1" t="s">
        <v>33</v>
      </c>
      <c r="C110" s="2" t="s">
        <v>4</v>
      </c>
      <c r="D110" s="5">
        <v>1.15021666666667</v>
      </c>
      <c r="E110">
        <v>0.44294</v>
      </c>
      <c r="F110" s="5">
        <f t="shared" si="2"/>
        <v>0.70727666666667</v>
      </c>
      <c r="G110">
        <v>4</v>
      </c>
      <c r="H110">
        <f t="shared" si="3"/>
        <v>40.14483720000019</v>
      </c>
    </row>
    <row r="111" spans="1:8">
      <c r="A111" s="1" t="s">
        <v>35</v>
      </c>
      <c r="B111" s="1" t="s">
        <v>33</v>
      </c>
      <c r="C111" s="2" t="s">
        <v>6</v>
      </c>
      <c r="D111" s="5">
        <v>1.12441666666667</v>
      </c>
      <c r="E111">
        <v>0.44294</v>
      </c>
      <c r="F111" s="5">
        <f t="shared" si="2"/>
        <v>0.68147666666666995</v>
      </c>
      <c r="G111">
        <v>4</v>
      </c>
      <c r="H111">
        <f t="shared" si="3"/>
        <v>38.686621200000189</v>
      </c>
    </row>
    <row r="112" spans="1:8">
      <c r="A112" s="1" t="s">
        <v>35</v>
      </c>
      <c r="B112" s="1" t="s">
        <v>33</v>
      </c>
      <c r="C112" s="2" t="s">
        <v>7</v>
      </c>
      <c r="D112" s="5">
        <v>1.1592166666666699</v>
      </c>
      <c r="E112">
        <v>0.44294</v>
      </c>
      <c r="F112" s="5">
        <f t="shared" si="2"/>
        <v>0.71627666666666989</v>
      </c>
      <c r="G112">
        <v>4</v>
      </c>
      <c r="H112">
        <f t="shared" si="3"/>
        <v>40.653517200000181</v>
      </c>
    </row>
    <row r="113" spans="1:8">
      <c r="A113" s="1" t="s">
        <v>35</v>
      </c>
      <c r="B113" s="1" t="s">
        <v>33</v>
      </c>
      <c r="C113" s="2" t="s">
        <v>8</v>
      </c>
      <c r="D113" s="5">
        <v>1.47701666666667</v>
      </c>
      <c r="E113">
        <v>0.44294</v>
      </c>
      <c r="F113" s="5">
        <f t="shared" si="2"/>
        <v>1.0340766666666701</v>
      </c>
      <c r="G113">
        <v>4</v>
      </c>
      <c r="H113">
        <f t="shared" si="3"/>
        <v>58.615573200000192</v>
      </c>
    </row>
    <row r="114" spans="1:8">
      <c r="A114" s="1" t="s">
        <v>35</v>
      </c>
      <c r="B114" s="1" t="s">
        <v>33</v>
      </c>
      <c r="C114" s="2" t="s">
        <v>10</v>
      </c>
      <c r="D114" s="5">
        <v>1.1149166666666701</v>
      </c>
      <c r="E114">
        <v>0.44294</v>
      </c>
      <c r="F114" s="5">
        <f t="shared" si="2"/>
        <v>0.67197666666667011</v>
      </c>
      <c r="G114">
        <v>4</v>
      </c>
      <c r="H114">
        <f t="shared" si="3"/>
        <v>38.149681200000195</v>
      </c>
    </row>
    <row r="115" spans="1:8">
      <c r="A115" s="1" t="s">
        <v>35</v>
      </c>
      <c r="B115" s="1" t="s">
        <v>33</v>
      </c>
      <c r="C115" s="2" t="s">
        <v>11</v>
      </c>
      <c r="D115" s="5">
        <v>1.4317166666666701</v>
      </c>
      <c r="E115">
        <v>0.44294</v>
      </c>
      <c r="F115" s="5">
        <f t="shared" si="2"/>
        <v>0.98877666666667008</v>
      </c>
      <c r="G115">
        <v>4</v>
      </c>
      <c r="H115">
        <f t="shared" si="3"/>
        <v>56.055217200000193</v>
      </c>
    </row>
    <row r="116" spans="1:8">
      <c r="A116" s="1" t="s">
        <v>35</v>
      </c>
      <c r="B116" s="1" t="s">
        <v>33</v>
      </c>
      <c r="C116" s="2" t="s">
        <v>12</v>
      </c>
      <c r="D116" s="5">
        <v>1.10801666666667</v>
      </c>
      <c r="E116">
        <v>0.44294</v>
      </c>
      <c r="F116" s="5">
        <f t="shared" si="2"/>
        <v>0.66507666666666998</v>
      </c>
      <c r="G116">
        <v>4</v>
      </c>
      <c r="H116">
        <f t="shared" si="3"/>
        <v>37.759693200000186</v>
      </c>
    </row>
    <row r="117" spans="1:8">
      <c r="A117" s="1" t="s">
        <v>35</v>
      </c>
      <c r="B117" s="1" t="s">
        <v>33</v>
      </c>
      <c r="C117" s="2" t="s">
        <v>14</v>
      </c>
      <c r="D117" s="5">
        <v>1.4440166666666701</v>
      </c>
      <c r="E117">
        <v>0.44294</v>
      </c>
      <c r="F117" s="5">
        <f t="shared" si="2"/>
        <v>1.0010766666666702</v>
      </c>
      <c r="G117">
        <v>4</v>
      </c>
      <c r="H117">
        <f t="shared" si="3"/>
        <v>56.750413200000196</v>
      </c>
    </row>
    <row r="118" spans="1:8">
      <c r="A118" s="1" t="s">
        <v>35</v>
      </c>
      <c r="B118" s="1" t="s">
        <v>33</v>
      </c>
      <c r="C118" s="2" t="s">
        <v>15</v>
      </c>
      <c r="D118" s="5">
        <v>1.0862166666666699</v>
      </c>
      <c r="E118">
        <v>0.44294</v>
      </c>
      <c r="F118" s="5">
        <f t="shared" si="2"/>
        <v>0.64327666666666994</v>
      </c>
      <c r="G118">
        <v>4</v>
      </c>
      <c r="H118">
        <f t="shared" si="3"/>
        <v>36.527557200000189</v>
      </c>
    </row>
    <row r="119" spans="1:8">
      <c r="A119" s="1" t="s">
        <v>35</v>
      </c>
      <c r="B119" s="1" t="s">
        <v>33</v>
      </c>
      <c r="C119" s="2" t="s">
        <v>16</v>
      </c>
      <c r="D119" s="5">
        <v>1.0505166666666701</v>
      </c>
      <c r="E119">
        <v>0.44294</v>
      </c>
      <c r="F119" s="5">
        <f t="shared" si="2"/>
        <v>0.6075766666666701</v>
      </c>
      <c r="G119">
        <v>4</v>
      </c>
      <c r="H119">
        <f t="shared" si="3"/>
        <v>34.509793200000196</v>
      </c>
    </row>
    <row r="120" spans="1:8">
      <c r="A120" s="1" t="s">
        <v>35</v>
      </c>
      <c r="B120" s="1" t="s">
        <v>33</v>
      </c>
      <c r="C120" s="2" t="s">
        <v>18</v>
      </c>
      <c r="D120" s="5">
        <v>1.44671666666667</v>
      </c>
      <c r="E120">
        <v>0.44294</v>
      </c>
      <c r="F120" s="5">
        <f t="shared" si="2"/>
        <v>1.0037766666666701</v>
      </c>
      <c r="G120">
        <v>4</v>
      </c>
      <c r="H120">
        <f t="shared" si="3"/>
        <v>56.903017200000193</v>
      </c>
    </row>
    <row r="121" spans="1:8">
      <c r="A121" s="1" t="s">
        <v>35</v>
      </c>
      <c r="B121" s="1" t="s">
        <v>33</v>
      </c>
      <c r="C121" s="2" t="s">
        <v>19</v>
      </c>
      <c r="D121" s="5">
        <v>1.20031666666667</v>
      </c>
      <c r="E121">
        <v>0.44294</v>
      </c>
      <c r="F121" s="5">
        <f t="shared" si="2"/>
        <v>0.75737666666667003</v>
      </c>
      <c r="G121">
        <v>4</v>
      </c>
      <c r="H121">
        <f t="shared" si="3"/>
        <v>42.976489200000195</v>
      </c>
    </row>
    <row r="122" spans="1:8">
      <c r="A122" s="1" t="s">
        <v>35</v>
      </c>
      <c r="B122" s="1" t="s">
        <v>33</v>
      </c>
      <c r="C122" s="2" t="s">
        <v>20</v>
      </c>
      <c r="D122" s="5">
        <v>1.10971666666667</v>
      </c>
      <c r="E122">
        <v>0.44294</v>
      </c>
      <c r="F122" s="5">
        <f t="shared" si="2"/>
        <v>0.66677666666667001</v>
      </c>
      <c r="G122">
        <v>4</v>
      </c>
      <c r="H122">
        <f t="shared" si="3"/>
        <v>37.85577720000019</v>
      </c>
    </row>
    <row r="123" spans="1:8">
      <c r="A123" s="1" t="s">
        <v>35</v>
      </c>
      <c r="B123" s="1" t="s">
        <v>33</v>
      </c>
      <c r="C123" s="2" t="s">
        <v>22</v>
      </c>
      <c r="D123" s="5">
        <v>1.20091666666667</v>
      </c>
      <c r="E123">
        <v>0.44294</v>
      </c>
      <c r="F123" s="5">
        <f t="shared" si="2"/>
        <v>0.75797666666666996</v>
      </c>
      <c r="G123">
        <v>4</v>
      </c>
      <c r="H123">
        <f t="shared" si="3"/>
        <v>43.010401200000189</v>
      </c>
    </row>
    <row r="124" spans="1:8">
      <c r="A124" s="1" t="s">
        <v>35</v>
      </c>
      <c r="B124" s="1" t="s">
        <v>33</v>
      </c>
      <c r="C124" s="2" t="s">
        <v>23</v>
      </c>
      <c r="D124" s="5">
        <v>0.92981666666666696</v>
      </c>
      <c r="E124">
        <v>0.44294</v>
      </c>
      <c r="F124" s="5">
        <f t="shared" si="2"/>
        <v>0.48687666666666696</v>
      </c>
      <c r="G124">
        <v>4</v>
      </c>
      <c r="H124">
        <f t="shared" si="3"/>
        <v>27.687829200000017</v>
      </c>
    </row>
    <row r="125" spans="1:8">
      <c r="A125" s="1" t="s">
        <v>35</v>
      </c>
      <c r="B125" s="1" t="s">
        <v>33</v>
      </c>
      <c r="C125" s="2" t="s">
        <v>24</v>
      </c>
      <c r="D125" s="5">
        <v>0.98261666666666703</v>
      </c>
      <c r="E125">
        <v>0.44294</v>
      </c>
      <c r="F125" s="5">
        <f t="shared" si="2"/>
        <v>0.53967666666666703</v>
      </c>
      <c r="G125">
        <v>4</v>
      </c>
      <c r="H125">
        <f t="shared" si="3"/>
        <v>30.672085200000019</v>
      </c>
    </row>
    <row r="126" spans="1:8">
      <c r="A126" s="1" t="s">
        <v>35</v>
      </c>
      <c r="B126" s="1" t="s">
        <v>33</v>
      </c>
      <c r="C126" s="2" t="s">
        <v>26</v>
      </c>
      <c r="D126" s="5">
        <v>1.5438166666666699</v>
      </c>
      <c r="E126">
        <v>0.44294</v>
      </c>
      <c r="F126" s="5">
        <f t="shared" si="2"/>
        <v>1.1008766666666698</v>
      </c>
      <c r="G126">
        <v>4</v>
      </c>
      <c r="H126">
        <f t="shared" si="3"/>
        <v>62.391109200000173</v>
      </c>
    </row>
    <row r="127" spans="1:8">
      <c r="A127" s="1" t="s">
        <v>35</v>
      </c>
      <c r="B127" s="1" t="s">
        <v>33</v>
      </c>
      <c r="C127" s="2" t="s">
        <v>27</v>
      </c>
      <c r="D127" s="5">
        <v>1.5848166666666701</v>
      </c>
      <c r="E127">
        <v>0.44294</v>
      </c>
      <c r="F127" s="5">
        <f t="shared" si="2"/>
        <v>1.1418766666666702</v>
      </c>
      <c r="G127">
        <v>4</v>
      </c>
      <c r="H127">
        <f t="shared" si="3"/>
        <v>64.708429200000197</v>
      </c>
    </row>
    <row r="128" spans="1:8">
      <c r="A128" s="1" t="s">
        <v>35</v>
      </c>
      <c r="B128" s="1" t="s">
        <v>34</v>
      </c>
      <c r="C128" s="2" t="s">
        <v>4</v>
      </c>
      <c r="D128" s="5">
        <v>1.1347499999999999</v>
      </c>
      <c r="E128">
        <v>0.44294</v>
      </c>
      <c r="F128" s="5">
        <f t="shared" si="2"/>
        <v>0.69180999999999993</v>
      </c>
      <c r="G128">
        <v>4</v>
      </c>
      <c r="H128">
        <f t="shared" si="3"/>
        <v>39.270661199999999</v>
      </c>
    </row>
    <row r="129" spans="1:8">
      <c r="A129" s="1" t="s">
        <v>35</v>
      </c>
      <c r="B129" s="1" t="s">
        <v>34</v>
      </c>
      <c r="C129" s="2" t="s">
        <v>6</v>
      </c>
      <c r="D129" s="5">
        <v>1.0075499999999999</v>
      </c>
      <c r="E129">
        <v>0.44294</v>
      </c>
      <c r="F129" s="5">
        <f t="shared" si="2"/>
        <v>0.56460999999999995</v>
      </c>
      <c r="G129">
        <v>4</v>
      </c>
      <c r="H129">
        <f t="shared" si="3"/>
        <v>32.081317200000001</v>
      </c>
    </row>
    <row r="130" spans="1:8">
      <c r="A130" s="1" t="s">
        <v>35</v>
      </c>
      <c r="B130" s="1" t="s">
        <v>34</v>
      </c>
      <c r="C130" s="2" t="s">
        <v>7</v>
      </c>
      <c r="D130" s="5">
        <v>1.5399499999999999</v>
      </c>
      <c r="E130">
        <v>0.44294</v>
      </c>
      <c r="F130" s="5">
        <f t="shared" si="2"/>
        <v>1.09701</v>
      </c>
      <c r="G130">
        <v>4</v>
      </c>
      <c r="H130">
        <f t="shared" si="3"/>
        <v>62.172565199999994</v>
      </c>
    </row>
    <row r="131" spans="1:8">
      <c r="A131" s="1" t="s">
        <v>35</v>
      </c>
      <c r="B131" s="1" t="s">
        <v>34</v>
      </c>
      <c r="C131" s="2" t="s">
        <v>8</v>
      </c>
      <c r="D131" s="5">
        <v>1.45445</v>
      </c>
      <c r="E131">
        <v>0.44294</v>
      </c>
      <c r="F131" s="5">
        <f t="shared" ref="F131:F194" si="4">D131-E131</f>
        <v>1.0115099999999999</v>
      </c>
      <c r="G131">
        <v>4</v>
      </c>
      <c r="H131">
        <f t="shared" si="3"/>
        <v>57.340105199999989</v>
      </c>
    </row>
    <row r="132" spans="1:8">
      <c r="A132" s="1" t="s">
        <v>35</v>
      </c>
      <c r="B132" s="1" t="s">
        <v>34</v>
      </c>
      <c r="C132" s="2" t="s">
        <v>10</v>
      </c>
      <c r="D132" s="5">
        <v>0.70015000000000005</v>
      </c>
      <c r="E132">
        <v>0.44294</v>
      </c>
      <c r="F132" s="5">
        <f t="shared" si="4"/>
        <v>0.25721000000000005</v>
      </c>
      <c r="G132">
        <v>4</v>
      </c>
      <c r="H132">
        <f t="shared" ref="H132:H195" si="5">0.1413*(F132+0.003)*G132/0.01</f>
        <v>14.707069200000003</v>
      </c>
    </row>
    <row r="133" spans="1:8">
      <c r="A133" s="1" t="s">
        <v>35</v>
      </c>
      <c r="B133" s="1" t="s">
        <v>34</v>
      </c>
      <c r="C133" s="2" t="s">
        <v>11</v>
      </c>
      <c r="D133" s="5">
        <v>1.3691500000000001</v>
      </c>
      <c r="E133">
        <v>0.44294</v>
      </c>
      <c r="F133" s="5">
        <f t="shared" si="4"/>
        <v>0.92621000000000009</v>
      </c>
      <c r="G133">
        <v>4</v>
      </c>
      <c r="H133">
        <f t="shared" si="5"/>
        <v>52.518949200000009</v>
      </c>
    </row>
    <row r="134" spans="1:8">
      <c r="A134" s="1" t="s">
        <v>35</v>
      </c>
      <c r="B134" s="1" t="s">
        <v>34</v>
      </c>
      <c r="C134" s="2" t="s">
        <v>12</v>
      </c>
      <c r="D134" s="5">
        <v>1.5608500000000001</v>
      </c>
      <c r="E134">
        <v>0.44294</v>
      </c>
      <c r="F134" s="5">
        <f t="shared" si="4"/>
        <v>1.1179100000000002</v>
      </c>
      <c r="G134">
        <v>4</v>
      </c>
      <c r="H134">
        <f t="shared" si="5"/>
        <v>63.353833200000011</v>
      </c>
    </row>
    <row r="135" spans="1:8">
      <c r="A135" s="1" t="s">
        <v>35</v>
      </c>
      <c r="B135" s="1" t="s">
        <v>34</v>
      </c>
      <c r="C135" s="2" t="s">
        <v>14</v>
      </c>
      <c r="D135" s="5">
        <v>1.35215</v>
      </c>
      <c r="E135">
        <v>0.44294</v>
      </c>
      <c r="F135" s="5">
        <f t="shared" si="4"/>
        <v>0.90920999999999996</v>
      </c>
      <c r="G135">
        <v>4</v>
      </c>
      <c r="H135">
        <f t="shared" si="5"/>
        <v>51.558109200000004</v>
      </c>
    </row>
    <row r="136" spans="1:8">
      <c r="A136" s="1" t="s">
        <v>35</v>
      </c>
      <c r="B136" s="1" t="s">
        <v>34</v>
      </c>
      <c r="C136" s="2" t="s">
        <v>15</v>
      </c>
      <c r="D136" s="5">
        <v>1.2294499999999999</v>
      </c>
      <c r="E136">
        <v>0.44294</v>
      </c>
      <c r="F136" s="5">
        <f t="shared" si="4"/>
        <v>0.78650999999999993</v>
      </c>
      <c r="G136">
        <v>4</v>
      </c>
      <c r="H136">
        <f t="shared" si="5"/>
        <v>44.623105199999998</v>
      </c>
    </row>
    <row r="137" spans="1:8">
      <c r="A137" s="1" t="s">
        <v>35</v>
      </c>
      <c r="B137" s="1" t="s">
        <v>34</v>
      </c>
      <c r="C137" s="2" t="s">
        <v>16</v>
      </c>
      <c r="D137" s="5">
        <v>1.14795</v>
      </c>
      <c r="E137">
        <v>0.44294</v>
      </c>
      <c r="F137" s="5">
        <f t="shared" si="4"/>
        <v>0.70501000000000003</v>
      </c>
      <c r="G137">
        <v>4</v>
      </c>
      <c r="H137">
        <f t="shared" si="5"/>
        <v>40.016725200000003</v>
      </c>
    </row>
    <row r="138" spans="1:8">
      <c r="A138" s="1" t="s">
        <v>35</v>
      </c>
      <c r="B138" s="1" t="s">
        <v>34</v>
      </c>
      <c r="C138" s="2" t="s">
        <v>18</v>
      </c>
      <c r="D138" s="5">
        <v>1.39175</v>
      </c>
      <c r="E138">
        <v>0.44294</v>
      </c>
      <c r="F138" s="5">
        <f t="shared" si="4"/>
        <v>0.94881000000000004</v>
      </c>
      <c r="G138">
        <v>4</v>
      </c>
      <c r="H138">
        <f t="shared" si="5"/>
        <v>53.796301200000009</v>
      </c>
    </row>
    <row r="139" spans="1:8">
      <c r="A139" s="1" t="s">
        <v>35</v>
      </c>
      <c r="B139" s="1" t="s">
        <v>34</v>
      </c>
      <c r="C139" s="2" t="s">
        <v>19</v>
      </c>
      <c r="D139" s="5">
        <v>1.6232500000000001</v>
      </c>
      <c r="E139">
        <v>0.44294</v>
      </c>
      <c r="F139" s="5">
        <f t="shared" si="4"/>
        <v>1.18031</v>
      </c>
      <c r="G139">
        <v>4</v>
      </c>
      <c r="H139">
        <f t="shared" si="5"/>
        <v>66.880681199999984</v>
      </c>
    </row>
    <row r="140" spans="1:8">
      <c r="A140" s="1" t="s">
        <v>35</v>
      </c>
      <c r="B140" s="1" t="s">
        <v>34</v>
      </c>
      <c r="C140" s="2" t="s">
        <v>20</v>
      </c>
      <c r="D140" s="5">
        <v>1.2398499999999999</v>
      </c>
      <c r="E140">
        <v>0.44294</v>
      </c>
      <c r="F140" s="5">
        <f t="shared" si="4"/>
        <v>0.7969099999999999</v>
      </c>
      <c r="G140">
        <v>4</v>
      </c>
      <c r="H140">
        <f t="shared" si="5"/>
        <v>45.210913199999993</v>
      </c>
    </row>
    <row r="141" spans="1:8">
      <c r="A141" s="1" t="s">
        <v>35</v>
      </c>
      <c r="B141" s="1" t="s">
        <v>34</v>
      </c>
      <c r="C141" s="2" t="s">
        <v>22</v>
      </c>
      <c r="D141" s="5">
        <v>0.97455000000000003</v>
      </c>
      <c r="E141">
        <v>0.44294</v>
      </c>
      <c r="F141" s="5">
        <f t="shared" si="4"/>
        <v>0.53161000000000003</v>
      </c>
      <c r="G141">
        <v>4</v>
      </c>
      <c r="H141">
        <f t="shared" si="5"/>
        <v>30.216157200000005</v>
      </c>
    </row>
    <row r="142" spans="1:8">
      <c r="A142" s="1" t="s">
        <v>35</v>
      </c>
      <c r="B142" s="1" t="s">
        <v>34</v>
      </c>
      <c r="C142" s="2" t="s">
        <v>23</v>
      </c>
      <c r="D142" s="5">
        <v>1.5527500000000001</v>
      </c>
      <c r="E142">
        <v>0.44294</v>
      </c>
      <c r="F142" s="5">
        <f t="shared" si="4"/>
        <v>1.10981</v>
      </c>
      <c r="G142">
        <v>4</v>
      </c>
      <c r="H142">
        <f t="shared" si="5"/>
        <v>62.896021199999993</v>
      </c>
    </row>
    <row r="143" spans="1:8">
      <c r="A143" s="1" t="s">
        <v>35</v>
      </c>
      <c r="B143" s="1" t="s">
        <v>34</v>
      </c>
      <c r="C143" s="2" t="s">
        <v>24</v>
      </c>
      <c r="D143" s="5">
        <v>1.66455</v>
      </c>
      <c r="E143">
        <v>0.44294</v>
      </c>
      <c r="F143" s="5">
        <f t="shared" si="4"/>
        <v>1.2216100000000001</v>
      </c>
      <c r="G143">
        <v>4</v>
      </c>
      <c r="H143">
        <f t="shared" si="5"/>
        <v>69.214957200000001</v>
      </c>
    </row>
    <row r="144" spans="1:8">
      <c r="A144" s="1" t="s">
        <v>35</v>
      </c>
      <c r="B144" s="1" t="s">
        <v>34</v>
      </c>
      <c r="C144" s="2" t="s">
        <v>26</v>
      </c>
      <c r="D144" s="5">
        <v>1.1373500000000001</v>
      </c>
      <c r="E144">
        <v>0.44294</v>
      </c>
      <c r="F144" s="5">
        <f t="shared" si="4"/>
        <v>0.69441000000000008</v>
      </c>
      <c r="G144">
        <v>4</v>
      </c>
      <c r="H144">
        <f t="shared" si="5"/>
        <v>39.417613200000005</v>
      </c>
    </row>
    <row r="145" spans="1:8">
      <c r="A145" s="1" t="s">
        <v>35</v>
      </c>
      <c r="B145" s="1" t="s">
        <v>34</v>
      </c>
      <c r="C145" s="2" t="s">
        <v>27</v>
      </c>
      <c r="D145" s="5">
        <v>1.5506500000000001</v>
      </c>
      <c r="E145">
        <v>0.44294</v>
      </c>
      <c r="F145" s="5">
        <f t="shared" si="4"/>
        <v>1.10771</v>
      </c>
      <c r="G145">
        <v>4</v>
      </c>
      <c r="H145">
        <f t="shared" si="5"/>
        <v>62.777329199999997</v>
      </c>
    </row>
    <row r="146" spans="1:8">
      <c r="A146" s="8" t="s">
        <v>36</v>
      </c>
      <c r="B146" s="8" t="s">
        <v>37</v>
      </c>
      <c r="C146" s="8" t="s">
        <v>4</v>
      </c>
      <c r="D146" s="9">
        <v>1.6559333333333299</v>
      </c>
      <c r="E146">
        <v>0.44294</v>
      </c>
      <c r="F146" s="5">
        <f t="shared" si="4"/>
        <v>1.2129933333333298</v>
      </c>
      <c r="G146">
        <v>4</v>
      </c>
      <c r="H146">
        <f t="shared" si="5"/>
        <v>68.7279431999998</v>
      </c>
    </row>
    <row r="147" spans="1:8">
      <c r="A147" s="1" t="s">
        <v>36</v>
      </c>
      <c r="B147" s="1" t="s">
        <v>37</v>
      </c>
      <c r="C147" s="2" t="s">
        <v>6</v>
      </c>
      <c r="D147" s="5">
        <v>1.1845333333333301</v>
      </c>
      <c r="E147">
        <v>0.44294</v>
      </c>
      <c r="F147" s="5">
        <f t="shared" si="4"/>
        <v>0.74159333333333011</v>
      </c>
      <c r="G147">
        <v>4</v>
      </c>
      <c r="H147">
        <f t="shared" si="5"/>
        <v>42.084415199999818</v>
      </c>
    </row>
    <row r="148" spans="1:8">
      <c r="A148" s="1" t="s">
        <v>36</v>
      </c>
      <c r="B148" s="1" t="s">
        <v>37</v>
      </c>
      <c r="C148" s="2" t="s">
        <v>7</v>
      </c>
      <c r="D148" s="5">
        <v>0.97313333333333296</v>
      </c>
      <c r="E148">
        <v>0.44294</v>
      </c>
      <c r="F148" s="5">
        <f t="shared" si="4"/>
        <v>0.53019333333333296</v>
      </c>
      <c r="G148">
        <v>4</v>
      </c>
      <c r="H148">
        <f t="shared" si="5"/>
        <v>30.136087199999984</v>
      </c>
    </row>
    <row r="149" spans="1:8">
      <c r="A149" s="1" t="s">
        <v>36</v>
      </c>
      <c r="B149" s="1" t="s">
        <v>37</v>
      </c>
      <c r="C149" s="2" t="s">
        <v>8</v>
      </c>
      <c r="D149" s="5">
        <v>0.77613333333333301</v>
      </c>
      <c r="E149">
        <v>0.44294</v>
      </c>
      <c r="F149" s="5">
        <f t="shared" si="4"/>
        <v>0.33319333333333301</v>
      </c>
      <c r="G149">
        <v>4</v>
      </c>
      <c r="H149">
        <f t="shared" si="5"/>
        <v>19.001647199999983</v>
      </c>
    </row>
    <row r="150" spans="1:8">
      <c r="A150" s="1" t="s">
        <v>36</v>
      </c>
      <c r="B150" s="1" t="s">
        <v>37</v>
      </c>
      <c r="C150" s="2" t="s">
        <v>10</v>
      </c>
      <c r="D150" s="5">
        <v>1.2208333333333301</v>
      </c>
      <c r="E150">
        <v>0.44294</v>
      </c>
      <c r="F150" s="5">
        <f t="shared" si="4"/>
        <v>0.77789333333333011</v>
      </c>
      <c r="G150">
        <v>4</v>
      </c>
      <c r="H150">
        <f t="shared" si="5"/>
        <v>44.136091199999818</v>
      </c>
    </row>
    <row r="151" spans="1:8">
      <c r="A151" s="1" t="s">
        <v>36</v>
      </c>
      <c r="B151" s="1" t="s">
        <v>37</v>
      </c>
      <c r="C151" s="2" t="s">
        <v>11</v>
      </c>
      <c r="D151" s="5">
        <v>0.79903333333333304</v>
      </c>
      <c r="E151">
        <v>0.44294</v>
      </c>
      <c r="F151" s="5">
        <f t="shared" si="4"/>
        <v>0.35609333333333304</v>
      </c>
      <c r="G151">
        <v>4</v>
      </c>
      <c r="H151">
        <f t="shared" si="5"/>
        <v>20.295955199999984</v>
      </c>
    </row>
    <row r="152" spans="1:8">
      <c r="A152" s="1" t="s">
        <v>36</v>
      </c>
      <c r="B152" s="1" t="s">
        <v>37</v>
      </c>
      <c r="C152" s="2" t="s">
        <v>12</v>
      </c>
      <c r="D152" s="6">
        <v>0.80300000000000005</v>
      </c>
      <c r="E152">
        <v>0.20327999999999999</v>
      </c>
      <c r="F152" s="5">
        <f t="shared" si="4"/>
        <v>0.59972000000000003</v>
      </c>
      <c r="G152">
        <v>10</v>
      </c>
      <c r="H152">
        <f t="shared" si="5"/>
        <v>85.164336000000006</v>
      </c>
    </row>
    <row r="153" spans="1:8">
      <c r="A153" s="1" t="s">
        <v>36</v>
      </c>
      <c r="B153" s="1" t="s">
        <v>37</v>
      </c>
      <c r="C153" s="2" t="s">
        <v>14</v>
      </c>
      <c r="D153" s="5">
        <v>1.43123333333333</v>
      </c>
      <c r="E153">
        <v>0.44294</v>
      </c>
      <c r="F153" s="5">
        <f t="shared" si="4"/>
        <v>0.98829333333333003</v>
      </c>
      <c r="G153">
        <v>4</v>
      </c>
      <c r="H153">
        <f t="shared" si="5"/>
        <v>56.027899199999815</v>
      </c>
    </row>
    <row r="154" spans="1:8">
      <c r="A154" s="1" t="s">
        <v>36</v>
      </c>
      <c r="B154" s="1" t="s">
        <v>37</v>
      </c>
      <c r="C154" s="2" t="s">
        <v>15</v>
      </c>
      <c r="D154" s="5">
        <v>1.3764333333333301</v>
      </c>
      <c r="E154">
        <v>0.44294</v>
      </c>
      <c r="F154" s="5">
        <f t="shared" si="4"/>
        <v>0.93349333333333007</v>
      </c>
      <c r="G154">
        <v>4</v>
      </c>
      <c r="H154">
        <f t="shared" si="5"/>
        <v>52.930603199999815</v>
      </c>
    </row>
    <row r="155" spans="1:8">
      <c r="A155" s="1" t="s">
        <v>36</v>
      </c>
      <c r="B155" s="1" t="s">
        <v>37</v>
      </c>
      <c r="C155" s="2" t="s">
        <v>16</v>
      </c>
      <c r="D155" s="5">
        <v>1.2228333333333301</v>
      </c>
      <c r="E155">
        <v>0.44294</v>
      </c>
      <c r="F155" s="5">
        <f t="shared" si="4"/>
        <v>0.77989333333333011</v>
      </c>
      <c r="G155">
        <v>4</v>
      </c>
      <c r="H155">
        <f t="shared" si="5"/>
        <v>44.249131199999816</v>
      </c>
    </row>
    <row r="156" spans="1:8">
      <c r="A156" s="1" t="s">
        <v>36</v>
      </c>
      <c r="B156" s="1" t="s">
        <v>37</v>
      </c>
      <c r="C156" s="2" t="s">
        <v>18</v>
      </c>
      <c r="D156" s="5">
        <v>1.47743333333333</v>
      </c>
      <c r="E156">
        <v>0.44294</v>
      </c>
      <c r="F156" s="5">
        <f t="shared" si="4"/>
        <v>1.0344933333333302</v>
      </c>
      <c r="G156">
        <v>4</v>
      </c>
      <c r="H156">
        <f t="shared" si="5"/>
        <v>58.639123199999823</v>
      </c>
    </row>
    <row r="157" spans="1:8">
      <c r="A157" s="1" t="s">
        <v>36</v>
      </c>
      <c r="B157" s="1" t="s">
        <v>37</v>
      </c>
      <c r="C157" s="2" t="s">
        <v>19</v>
      </c>
      <c r="D157" s="5">
        <v>1.0595333333333301</v>
      </c>
      <c r="E157">
        <v>0.44294</v>
      </c>
      <c r="F157" s="5">
        <f t="shared" si="4"/>
        <v>0.61659333333333011</v>
      </c>
      <c r="G157">
        <v>4</v>
      </c>
      <c r="H157">
        <f t="shared" si="5"/>
        <v>35.01941519999982</v>
      </c>
    </row>
    <row r="158" spans="1:8">
      <c r="A158" s="1" t="s">
        <v>36</v>
      </c>
      <c r="B158" s="1" t="s">
        <v>37</v>
      </c>
      <c r="C158" s="2" t="s">
        <v>20</v>
      </c>
      <c r="D158" s="5">
        <v>1.0456333333333301</v>
      </c>
      <c r="E158">
        <v>0.44294</v>
      </c>
      <c r="F158" s="5">
        <f t="shared" si="4"/>
        <v>0.60269333333333008</v>
      </c>
      <c r="G158">
        <v>4</v>
      </c>
      <c r="H158">
        <f t="shared" si="5"/>
        <v>34.233787199999817</v>
      </c>
    </row>
    <row r="159" spans="1:8">
      <c r="A159" s="1" t="s">
        <v>36</v>
      </c>
      <c r="B159" s="1" t="s">
        <v>37</v>
      </c>
      <c r="C159" s="2" t="s">
        <v>22</v>
      </c>
      <c r="D159" s="5">
        <v>1.48383333333333</v>
      </c>
      <c r="E159">
        <v>0.44294</v>
      </c>
      <c r="F159" s="5">
        <f t="shared" si="4"/>
        <v>1.0408933333333299</v>
      </c>
      <c r="G159">
        <v>4</v>
      </c>
      <c r="H159">
        <f t="shared" si="5"/>
        <v>59.000851199999801</v>
      </c>
    </row>
    <row r="160" spans="1:8">
      <c r="A160" s="1" t="s">
        <v>36</v>
      </c>
      <c r="B160" s="1" t="s">
        <v>37</v>
      </c>
      <c r="C160" s="2" t="s">
        <v>23</v>
      </c>
      <c r="D160" s="5">
        <v>0.85553333333333303</v>
      </c>
      <c r="E160">
        <v>0.44294</v>
      </c>
      <c r="F160" s="5">
        <f t="shared" si="4"/>
        <v>0.41259333333333303</v>
      </c>
      <c r="G160">
        <v>4</v>
      </c>
      <c r="H160">
        <f t="shared" si="5"/>
        <v>23.489335199999985</v>
      </c>
    </row>
    <row r="161" spans="1:8">
      <c r="A161" s="1" t="s">
        <v>36</v>
      </c>
      <c r="B161" s="1" t="s">
        <v>37</v>
      </c>
      <c r="C161" s="2" t="s">
        <v>24</v>
      </c>
      <c r="D161" s="5">
        <v>1.1600333333333299</v>
      </c>
      <c r="E161">
        <v>0.44294</v>
      </c>
      <c r="F161" s="5">
        <f t="shared" si="4"/>
        <v>0.71709333333332992</v>
      </c>
      <c r="G161">
        <v>4</v>
      </c>
      <c r="H161">
        <f t="shared" si="5"/>
        <v>40.69967519999981</v>
      </c>
    </row>
    <row r="162" spans="1:8">
      <c r="A162" s="1" t="s">
        <v>36</v>
      </c>
      <c r="B162" s="1" t="s">
        <v>37</v>
      </c>
      <c r="C162" s="2" t="s">
        <v>26</v>
      </c>
      <c r="D162" s="5">
        <v>1.00193333333333</v>
      </c>
      <c r="E162">
        <v>0.44294</v>
      </c>
      <c r="F162" s="5">
        <f t="shared" si="4"/>
        <v>0.55899333333333001</v>
      </c>
      <c r="G162">
        <v>4</v>
      </c>
      <c r="H162">
        <f t="shared" si="5"/>
        <v>31.763863199999815</v>
      </c>
    </row>
    <row r="163" spans="1:8">
      <c r="A163" s="1" t="s">
        <v>36</v>
      </c>
      <c r="B163" s="1" t="s">
        <v>37</v>
      </c>
      <c r="C163" s="2" t="s">
        <v>27</v>
      </c>
      <c r="D163" s="5">
        <v>0.92803333333333304</v>
      </c>
      <c r="E163">
        <v>0.44294</v>
      </c>
      <c r="F163" s="5">
        <f t="shared" si="4"/>
        <v>0.48509333333333304</v>
      </c>
      <c r="G163">
        <v>4</v>
      </c>
      <c r="H163">
        <f t="shared" si="5"/>
        <v>27.587035199999988</v>
      </c>
    </row>
    <row r="164" spans="1:8">
      <c r="A164" s="1" t="s">
        <v>36</v>
      </c>
      <c r="B164" s="1" t="s">
        <v>38</v>
      </c>
      <c r="C164" s="2" t="s">
        <v>4</v>
      </c>
      <c r="D164" s="5">
        <v>0.96798333333333297</v>
      </c>
      <c r="E164">
        <v>0.44294</v>
      </c>
      <c r="F164" s="5">
        <f t="shared" si="4"/>
        <v>0.52504333333333297</v>
      </c>
      <c r="G164">
        <v>4</v>
      </c>
      <c r="H164">
        <f t="shared" si="5"/>
        <v>29.845009199999982</v>
      </c>
    </row>
    <row r="165" spans="1:8">
      <c r="A165" s="1" t="s">
        <v>36</v>
      </c>
      <c r="B165" s="1" t="s">
        <v>38</v>
      </c>
      <c r="C165" s="2" t="s">
        <v>6</v>
      </c>
      <c r="D165" s="5">
        <v>0.93198333333333305</v>
      </c>
      <c r="E165">
        <v>0.44294</v>
      </c>
      <c r="F165" s="5">
        <f t="shared" si="4"/>
        <v>0.48904333333333305</v>
      </c>
      <c r="G165">
        <v>4</v>
      </c>
      <c r="H165">
        <f t="shared" si="5"/>
        <v>27.810289199999989</v>
      </c>
    </row>
    <row r="166" spans="1:8">
      <c r="A166" s="1" t="s">
        <v>36</v>
      </c>
      <c r="B166" s="1" t="s">
        <v>38</v>
      </c>
      <c r="C166" s="2" t="s">
        <v>7</v>
      </c>
      <c r="D166" s="5">
        <v>0.74128333333333296</v>
      </c>
      <c r="E166">
        <v>0.44294</v>
      </c>
      <c r="F166" s="5">
        <f t="shared" si="4"/>
        <v>0.29834333333333296</v>
      </c>
      <c r="G166">
        <v>4</v>
      </c>
      <c r="H166">
        <f t="shared" si="5"/>
        <v>17.031925199999982</v>
      </c>
    </row>
    <row r="167" spans="1:8">
      <c r="A167" s="1" t="s">
        <v>36</v>
      </c>
      <c r="B167" s="1" t="s">
        <v>38</v>
      </c>
      <c r="C167" s="2" t="s">
        <v>8</v>
      </c>
      <c r="D167" s="5">
        <v>0.89838333333333298</v>
      </c>
      <c r="E167">
        <v>0.44294</v>
      </c>
      <c r="F167" s="5">
        <f t="shared" si="4"/>
        <v>0.45544333333333298</v>
      </c>
      <c r="G167">
        <v>4</v>
      </c>
      <c r="H167">
        <f t="shared" si="5"/>
        <v>25.911217199999982</v>
      </c>
    </row>
    <row r="168" spans="1:8">
      <c r="A168" s="1" t="s">
        <v>36</v>
      </c>
      <c r="B168" s="1" t="s">
        <v>38</v>
      </c>
      <c r="C168" s="2" t="s">
        <v>10</v>
      </c>
      <c r="D168" s="5">
        <v>0.98358333333333303</v>
      </c>
      <c r="E168">
        <v>0.44294</v>
      </c>
      <c r="F168" s="5">
        <f t="shared" si="4"/>
        <v>0.54064333333333303</v>
      </c>
      <c r="G168">
        <v>4</v>
      </c>
      <c r="H168">
        <f t="shared" si="5"/>
        <v>30.726721199999982</v>
      </c>
    </row>
    <row r="169" spans="1:8">
      <c r="A169" s="1" t="s">
        <v>36</v>
      </c>
      <c r="B169" s="1" t="s">
        <v>38</v>
      </c>
      <c r="C169" s="2" t="s">
        <v>11</v>
      </c>
      <c r="D169" s="5">
        <v>1.1373833333333301</v>
      </c>
      <c r="E169">
        <v>0.44294</v>
      </c>
      <c r="F169" s="5">
        <f t="shared" si="4"/>
        <v>0.69444333333333008</v>
      </c>
      <c r="G169">
        <v>4</v>
      </c>
      <c r="H169">
        <f t="shared" si="5"/>
        <v>39.419497199999817</v>
      </c>
    </row>
    <row r="170" spans="1:8">
      <c r="A170" s="1" t="s">
        <v>36</v>
      </c>
      <c r="B170" s="1" t="s">
        <v>38</v>
      </c>
      <c r="C170" s="2" t="s">
        <v>12</v>
      </c>
      <c r="D170" s="5">
        <v>1.00108333333333</v>
      </c>
      <c r="E170">
        <v>0.44294</v>
      </c>
      <c r="F170" s="5">
        <f t="shared" si="4"/>
        <v>0.55814333333332999</v>
      </c>
      <c r="G170">
        <v>4</v>
      </c>
      <c r="H170">
        <f t="shared" si="5"/>
        <v>31.715821199999809</v>
      </c>
    </row>
    <row r="171" spans="1:8">
      <c r="A171" s="1" t="s">
        <v>36</v>
      </c>
      <c r="B171" s="1" t="s">
        <v>38</v>
      </c>
      <c r="C171" s="2" t="s">
        <v>14</v>
      </c>
      <c r="D171" s="5">
        <v>0.88388333333333302</v>
      </c>
      <c r="E171">
        <v>0.44294</v>
      </c>
      <c r="F171" s="5">
        <f t="shared" si="4"/>
        <v>0.44094333333333302</v>
      </c>
      <c r="G171">
        <v>4</v>
      </c>
      <c r="H171">
        <f t="shared" si="5"/>
        <v>25.091677199999985</v>
      </c>
    </row>
    <row r="172" spans="1:8">
      <c r="A172" s="1" t="s">
        <v>36</v>
      </c>
      <c r="B172" s="1" t="s">
        <v>38</v>
      </c>
      <c r="C172" s="2" t="s">
        <v>15</v>
      </c>
      <c r="D172" s="5">
        <v>1.2886833333333301</v>
      </c>
      <c r="E172">
        <v>0.44294</v>
      </c>
      <c r="F172" s="5">
        <f t="shared" si="4"/>
        <v>0.84574333333333007</v>
      </c>
      <c r="G172">
        <v>4</v>
      </c>
      <c r="H172">
        <f t="shared" si="5"/>
        <v>47.970973199999818</v>
      </c>
    </row>
    <row r="173" spans="1:8">
      <c r="A173" s="1" t="s">
        <v>36</v>
      </c>
      <c r="B173" s="1" t="s">
        <v>38</v>
      </c>
      <c r="C173" s="2" t="s">
        <v>16</v>
      </c>
      <c r="D173" s="5">
        <v>1.14458333333333</v>
      </c>
      <c r="E173">
        <v>0.44294</v>
      </c>
      <c r="F173" s="5">
        <f t="shared" si="4"/>
        <v>0.70164333333332995</v>
      </c>
      <c r="G173">
        <v>4</v>
      </c>
      <c r="H173">
        <f t="shared" si="5"/>
        <v>39.826441199999813</v>
      </c>
    </row>
    <row r="174" spans="1:8">
      <c r="A174" s="1" t="s">
        <v>36</v>
      </c>
      <c r="B174" s="1" t="s">
        <v>38</v>
      </c>
      <c r="C174" s="2" t="s">
        <v>18</v>
      </c>
      <c r="D174" s="5">
        <v>1.6637833333333301</v>
      </c>
      <c r="E174">
        <v>0.44294</v>
      </c>
      <c r="F174" s="5">
        <f t="shared" si="4"/>
        <v>1.2208433333333302</v>
      </c>
      <c r="G174">
        <v>4</v>
      </c>
      <c r="H174">
        <f t="shared" si="5"/>
        <v>69.171625199999824</v>
      </c>
    </row>
    <row r="175" spans="1:8">
      <c r="A175" s="1" t="s">
        <v>36</v>
      </c>
      <c r="B175" s="1" t="s">
        <v>38</v>
      </c>
      <c r="C175" s="2" t="s">
        <v>19</v>
      </c>
      <c r="D175" s="5">
        <v>0.98648333333333305</v>
      </c>
      <c r="E175">
        <v>0.44294</v>
      </c>
      <c r="F175" s="5">
        <f t="shared" si="4"/>
        <v>0.54354333333333305</v>
      </c>
      <c r="G175">
        <v>4</v>
      </c>
      <c r="H175">
        <f t="shared" si="5"/>
        <v>30.890629199999985</v>
      </c>
    </row>
    <row r="176" spans="1:8">
      <c r="A176" s="1" t="s">
        <v>36</v>
      </c>
      <c r="B176" s="1" t="s">
        <v>38</v>
      </c>
      <c r="C176" s="2" t="s">
        <v>20</v>
      </c>
      <c r="D176" s="5">
        <v>0.93158333333333299</v>
      </c>
      <c r="E176">
        <v>0.44294</v>
      </c>
      <c r="F176" s="5">
        <f t="shared" si="4"/>
        <v>0.48864333333333299</v>
      </c>
      <c r="G176">
        <v>4</v>
      </c>
      <c r="H176">
        <f t="shared" si="5"/>
        <v>27.78768119999998</v>
      </c>
    </row>
    <row r="177" spans="1:8">
      <c r="A177" s="1" t="s">
        <v>36</v>
      </c>
      <c r="B177" s="1" t="s">
        <v>38</v>
      </c>
      <c r="C177" s="2" t="s">
        <v>22</v>
      </c>
      <c r="D177" s="5">
        <v>1.3492833333333301</v>
      </c>
      <c r="E177">
        <v>0.44294</v>
      </c>
      <c r="F177" s="5">
        <f t="shared" si="4"/>
        <v>0.90634333333333006</v>
      </c>
      <c r="G177">
        <v>4</v>
      </c>
      <c r="H177">
        <f t="shared" si="5"/>
        <v>51.396085199999817</v>
      </c>
    </row>
    <row r="178" spans="1:8">
      <c r="A178" s="1" t="s">
        <v>36</v>
      </c>
      <c r="B178" s="1" t="s">
        <v>38</v>
      </c>
      <c r="C178" s="2" t="s">
        <v>23</v>
      </c>
      <c r="D178" s="5">
        <v>0.70798333333333296</v>
      </c>
      <c r="E178">
        <v>0.44294</v>
      </c>
      <c r="F178" s="5">
        <f t="shared" si="4"/>
        <v>0.26504333333333296</v>
      </c>
      <c r="G178">
        <v>4</v>
      </c>
      <c r="H178">
        <f t="shared" si="5"/>
        <v>15.14980919999998</v>
      </c>
    </row>
    <row r="179" spans="1:8">
      <c r="A179" s="1" t="s">
        <v>36</v>
      </c>
      <c r="B179" s="1" t="s">
        <v>38</v>
      </c>
      <c r="C179" s="2" t="s">
        <v>24</v>
      </c>
      <c r="D179" s="5">
        <v>0.97668333333333301</v>
      </c>
      <c r="E179">
        <v>0.44294</v>
      </c>
      <c r="F179" s="5">
        <f t="shared" si="4"/>
        <v>0.53374333333333301</v>
      </c>
      <c r="G179">
        <v>4</v>
      </c>
      <c r="H179">
        <f t="shared" si="5"/>
        <v>30.336733199999983</v>
      </c>
    </row>
    <row r="180" spans="1:8">
      <c r="A180" s="1" t="s">
        <v>36</v>
      </c>
      <c r="B180" s="1" t="s">
        <v>38</v>
      </c>
      <c r="C180" s="2" t="s">
        <v>26</v>
      </c>
      <c r="D180" s="5">
        <v>0.821583333333333</v>
      </c>
      <c r="E180">
        <v>0.44294</v>
      </c>
      <c r="F180" s="5">
        <f t="shared" si="4"/>
        <v>0.378643333333333</v>
      </c>
      <c r="G180">
        <v>4</v>
      </c>
      <c r="H180">
        <f t="shared" si="5"/>
        <v>21.570481199999982</v>
      </c>
    </row>
    <row r="181" spans="1:8">
      <c r="A181" s="1" t="s">
        <v>36</v>
      </c>
      <c r="B181" s="1" t="s">
        <v>38</v>
      </c>
      <c r="C181" s="2" t="s">
        <v>27</v>
      </c>
      <c r="D181" s="5">
        <v>0.93998333333333295</v>
      </c>
      <c r="E181">
        <v>0.44294</v>
      </c>
      <c r="F181" s="5">
        <f t="shared" si="4"/>
        <v>0.49704333333333295</v>
      </c>
      <c r="G181">
        <v>4</v>
      </c>
      <c r="H181">
        <f t="shared" si="5"/>
        <v>28.262449199999978</v>
      </c>
    </row>
    <row r="182" spans="1:8">
      <c r="A182" s="1" t="s">
        <v>36</v>
      </c>
      <c r="B182" s="1" t="s">
        <v>39</v>
      </c>
      <c r="C182" s="2" t="s">
        <v>4</v>
      </c>
      <c r="D182" s="5">
        <v>1.0017499999999999</v>
      </c>
      <c r="E182">
        <v>0.44294</v>
      </c>
      <c r="F182" s="5">
        <f t="shared" si="4"/>
        <v>0.55880999999999992</v>
      </c>
      <c r="G182">
        <v>4</v>
      </c>
      <c r="H182">
        <f t="shared" si="5"/>
        <v>31.753501199999995</v>
      </c>
    </row>
    <row r="183" spans="1:8">
      <c r="A183" s="1" t="s">
        <v>36</v>
      </c>
      <c r="B183" s="1" t="s">
        <v>39</v>
      </c>
      <c r="C183" s="2" t="s">
        <v>6</v>
      </c>
      <c r="D183" s="5">
        <v>1.2763500000000001</v>
      </c>
      <c r="E183">
        <v>0.44294</v>
      </c>
      <c r="F183" s="5">
        <f t="shared" si="4"/>
        <v>0.8334100000000001</v>
      </c>
      <c r="G183">
        <v>4</v>
      </c>
      <c r="H183">
        <f t="shared" si="5"/>
        <v>47.27389320000001</v>
      </c>
    </row>
    <row r="184" spans="1:8">
      <c r="A184" s="1" t="s">
        <v>36</v>
      </c>
      <c r="B184" s="1" t="s">
        <v>39</v>
      </c>
      <c r="C184" s="2" t="s">
        <v>7</v>
      </c>
      <c r="D184" s="5">
        <v>1.31945</v>
      </c>
      <c r="E184">
        <v>0.44294</v>
      </c>
      <c r="F184" s="5">
        <f t="shared" si="4"/>
        <v>0.87651000000000001</v>
      </c>
      <c r="G184">
        <v>4</v>
      </c>
      <c r="H184">
        <f t="shared" si="5"/>
        <v>49.709905200000001</v>
      </c>
    </row>
    <row r="185" spans="1:8">
      <c r="A185" s="1" t="s">
        <v>36</v>
      </c>
      <c r="B185" s="1" t="s">
        <v>39</v>
      </c>
      <c r="C185" s="2" t="s">
        <v>8</v>
      </c>
      <c r="D185" s="5">
        <v>1.1980500000000001</v>
      </c>
      <c r="E185">
        <v>0.44294</v>
      </c>
      <c r="F185" s="5">
        <f t="shared" si="4"/>
        <v>0.75511000000000006</v>
      </c>
      <c r="G185">
        <v>4</v>
      </c>
      <c r="H185">
        <f t="shared" si="5"/>
        <v>42.848377200000002</v>
      </c>
    </row>
    <row r="186" spans="1:8">
      <c r="A186" s="1" t="s">
        <v>36</v>
      </c>
      <c r="B186" s="1" t="s">
        <v>39</v>
      </c>
      <c r="C186" s="2" t="s">
        <v>10</v>
      </c>
      <c r="D186" s="5">
        <v>1.10995</v>
      </c>
      <c r="E186">
        <v>0.44294</v>
      </c>
      <c r="F186" s="5">
        <f t="shared" si="4"/>
        <v>0.66700999999999999</v>
      </c>
      <c r="G186">
        <v>4</v>
      </c>
      <c r="H186">
        <f t="shared" si="5"/>
        <v>37.868965200000005</v>
      </c>
    </row>
    <row r="187" spans="1:8">
      <c r="A187" s="1" t="s">
        <v>36</v>
      </c>
      <c r="B187" s="1" t="s">
        <v>39</v>
      </c>
      <c r="C187" s="2" t="s">
        <v>11</v>
      </c>
      <c r="D187" s="5">
        <v>1.18615</v>
      </c>
      <c r="E187">
        <v>0.44294</v>
      </c>
      <c r="F187" s="5">
        <f t="shared" si="4"/>
        <v>0.74321000000000004</v>
      </c>
      <c r="G187">
        <v>4</v>
      </c>
      <c r="H187">
        <f t="shared" si="5"/>
        <v>42.175789200000004</v>
      </c>
    </row>
    <row r="188" spans="1:8">
      <c r="A188" s="1" t="s">
        <v>36</v>
      </c>
      <c r="B188" s="1" t="s">
        <v>39</v>
      </c>
      <c r="C188" s="2" t="s">
        <v>12</v>
      </c>
      <c r="D188" s="5">
        <v>0.89595000000000002</v>
      </c>
      <c r="E188">
        <v>0.44294</v>
      </c>
      <c r="F188" s="5">
        <f t="shared" si="4"/>
        <v>0.45301000000000002</v>
      </c>
      <c r="G188">
        <v>4</v>
      </c>
      <c r="H188">
        <f t="shared" si="5"/>
        <v>25.773685200000003</v>
      </c>
    </row>
    <row r="189" spans="1:8">
      <c r="A189" s="1" t="s">
        <v>36</v>
      </c>
      <c r="B189" s="1" t="s">
        <v>39</v>
      </c>
      <c r="C189" s="2" t="s">
        <v>14</v>
      </c>
      <c r="D189" s="5">
        <v>1.04315</v>
      </c>
      <c r="E189">
        <v>0.44294</v>
      </c>
      <c r="F189" s="5">
        <f t="shared" si="4"/>
        <v>0.60021000000000002</v>
      </c>
      <c r="G189">
        <v>4</v>
      </c>
      <c r="H189">
        <f t="shared" si="5"/>
        <v>34.093429200000003</v>
      </c>
    </row>
    <row r="190" spans="1:8">
      <c r="A190" s="1" t="s">
        <v>36</v>
      </c>
      <c r="B190" s="1" t="s">
        <v>39</v>
      </c>
      <c r="C190" s="2" t="s">
        <v>15</v>
      </c>
      <c r="D190" s="5">
        <v>0.69094999999999995</v>
      </c>
      <c r="E190">
        <v>0.44294</v>
      </c>
      <c r="F190" s="5">
        <f t="shared" si="4"/>
        <v>0.24800999999999995</v>
      </c>
      <c r="G190">
        <v>4</v>
      </c>
      <c r="H190">
        <f t="shared" si="5"/>
        <v>14.187085199999999</v>
      </c>
    </row>
    <row r="191" spans="1:8">
      <c r="A191" s="1" t="s">
        <v>36</v>
      </c>
      <c r="B191" s="1" t="s">
        <v>39</v>
      </c>
      <c r="C191" s="2" t="s">
        <v>16</v>
      </c>
      <c r="D191" s="5">
        <v>1.33165</v>
      </c>
      <c r="E191">
        <v>0.44294</v>
      </c>
      <c r="F191" s="5">
        <f t="shared" si="4"/>
        <v>0.88871</v>
      </c>
      <c r="G191">
        <v>4</v>
      </c>
      <c r="H191">
        <f t="shared" si="5"/>
        <v>50.399449199999999</v>
      </c>
    </row>
    <row r="192" spans="1:8">
      <c r="A192" s="1" t="s">
        <v>36</v>
      </c>
      <c r="B192" s="1" t="s">
        <v>39</v>
      </c>
      <c r="C192" s="2" t="s">
        <v>18</v>
      </c>
      <c r="D192" s="5">
        <v>1.02155</v>
      </c>
      <c r="E192">
        <v>0.44294</v>
      </c>
      <c r="F192" s="5">
        <f t="shared" si="4"/>
        <v>0.57860999999999996</v>
      </c>
      <c r="G192">
        <v>4</v>
      </c>
      <c r="H192">
        <f t="shared" si="5"/>
        <v>32.872597199999994</v>
      </c>
    </row>
    <row r="193" spans="1:8">
      <c r="A193" s="1" t="s">
        <v>36</v>
      </c>
      <c r="B193" s="1" t="s">
        <v>39</v>
      </c>
      <c r="C193" s="2" t="s">
        <v>19</v>
      </c>
      <c r="D193" s="5">
        <v>0.89795000000000003</v>
      </c>
      <c r="E193">
        <v>0.44294</v>
      </c>
      <c r="F193" s="5">
        <f t="shared" si="4"/>
        <v>0.45501000000000003</v>
      </c>
      <c r="G193">
        <v>4</v>
      </c>
      <c r="H193">
        <f t="shared" si="5"/>
        <v>25.886725200000004</v>
      </c>
    </row>
    <row r="194" spans="1:8">
      <c r="A194" s="1" t="s">
        <v>36</v>
      </c>
      <c r="B194" s="1" t="s">
        <v>39</v>
      </c>
      <c r="C194" s="2" t="s">
        <v>20</v>
      </c>
      <c r="D194" s="5">
        <v>0.82735000000000003</v>
      </c>
      <c r="E194">
        <v>0.44294</v>
      </c>
      <c r="F194" s="5">
        <f t="shared" si="4"/>
        <v>0.38441000000000003</v>
      </c>
      <c r="G194">
        <v>4</v>
      </c>
      <c r="H194">
        <f t="shared" si="5"/>
        <v>21.896413200000001</v>
      </c>
    </row>
    <row r="195" spans="1:8">
      <c r="A195" s="1" t="s">
        <v>36</v>
      </c>
      <c r="B195" s="1" t="s">
        <v>39</v>
      </c>
      <c r="C195" s="2" t="s">
        <v>22</v>
      </c>
      <c r="D195" s="5">
        <v>0.93564999999999998</v>
      </c>
      <c r="E195">
        <v>0.44294</v>
      </c>
      <c r="F195" s="5">
        <f t="shared" ref="F195:F258" si="6">D195-E195</f>
        <v>0.49270999999999998</v>
      </c>
      <c r="G195">
        <v>4</v>
      </c>
      <c r="H195">
        <f t="shared" si="5"/>
        <v>28.017529200000002</v>
      </c>
    </row>
    <row r="196" spans="1:8">
      <c r="A196" s="1" t="s">
        <v>36</v>
      </c>
      <c r="B196" s="1" t="s">
        <v>39</v>
      </c>
      <c r="C196" s="2" t="s">
        <v>23</v>
      </c>
      <c r="D196" s="5">
        <v>0.96404999999999996</v>
      </c>
      <c r="E196">
        <v>0.44294</v>
      </c>
      <c r="F196" s="5">
        <f t="shared" si="6"/>
        <v>0.52110999999999996</v>
      </c>
      <c r="G196">
        <v>4</v>
      </c>
      <c r="H196">
        <f t="shared" ref="H196:H259" si="7">0.1413*(F196+0.003)*G196/0.01</f>
        <v>29.622697199999998</v>
      </c>
    </row>
    <row r="197" spans="1:8">
      <c r="A197" s="1" t="s">
        <v>36</v>
      </c>
      <c r="B197" s="1" t="s">
        <v>39</v>
      </c>
      <c r="C197" s="2" t="s">
        <v>24</v>
      </c>
      <c r="D197" s="5">
        <v>1.09795</v>
      </c>
      <c r="E197">
        <v>0.44294</v>
      </c>
      <c r="F197" s="5">
        <f t="shared" si="6"/>
        <v>0.65500999999999998</v>
      </c>
      <c r="G197">
        <v>4</v>
      </c>
      <c r="H197">
        <f t="shared" si="7"/>
        <v>37.190725200000003</v>
      </c>
    </row>
    <row r="198" spans="1:8">
      <c r="A198" s="1" t="s">
        <v>36</v>
      </c>
      <c r="B198" s="1" t="s">
        <v>39</v>
      </c>
      <c r="C198" s="2" t="s">
        <v>26</v>
      </c>
      <c r="D198" s="5">
        <v>1.1528499999999999</v>
      </c>
      <c r="E198">
        <v>0.44294</v>
      </c>
      <c r="F198" s="5">
        <f t="shared" si="6"/>
        <v>0.70990999999999993</v>
      </c>
      <c r="G198">
        <v>4</v>
      </c>
      <c r="H198">
        <f t="shared" si="7"/>
        <v>40.293673199999994</v>
      </c>
    </row>
    <row r="199" spans="1:8">
      <c r="A199" s="1" t="s">
        <v>36</v>
      </c>
      <c r="B199" s="1" t="s">
        <v>39</v>
      </c>
      <c r="C199" s="2" t="s">
        <v>27</v>
      </c>
      <c r="D199" s="5">
        <v>1.0580499999999999</v>
      </c>
      <c r="E199">
        <v>0.44294</v>
      </c>
      <c r="F199" s="5">
        <f t="shared" si="6"/>
        <v>0.61510999999999993</v>
      </c>
      <c r="G199">
        <v>4</v>
      </c>
      <c r="H199">
        <f t="shared" si="7"/>
        <v>34.935577199999997</v>
      </c>
    </row>
    <row r="200" spans="1:8">
      <c r="A200" s="1" t="s">
        <v>36</v>
      </c>
      <c r="B200" s="1" t="s">
        <v>40</v>
      </c>
      <c r="C200" s="2" t="s">
        <v>4</v>
      </c>
      <c r="D200" s="5">
        <v>0.99691666666666701</v>
      </c>
      <c r="E200">
        <v>0.44294</v>
      </c>
      <c r="F200" s="5">
        <f t="shared" si="6"/>
        <v>0.55397666666666701</v>
      </c>
      <c r="G200">
        <v>4</v>
      </c>
      <c r="H200">
        <f t="shared" si="7"/>
        <v>31.48032120000002</v>
      </c>
    </row>
    <row r="201" spans="1:8">
      <c r="A201" s="1" t="s">
        <v>36</v>
      </c>
      <c r="B201" s="1" t="s">
        <v>40</v>
      </c>
      <c r="C201" s="2" t="s">
        <v>6</v>
      </c>
      <c r="D201" s="5">
        <v>1.04571666666667</v>
      </c>
      <c r="E201">
        <v>0.44294</v>
      </c>
      <c r="F201" s="5">
        <f t="shared" si="6"/>
        <v>0.60277666666666996</v>
      </c>
      <c r="G201">
        <v>4</v>
      </c>
      <c r="H201">
        <f t="shared" si="7"/>
        <v>34.238497200000189</v>
      </c>
    </row>
    <row r="202" spans="1:8">
      <c r="A202" s="1" t="s">
        <v>36</v>
      </c>
      <c r="B202" s="1" t="s">
        <v>40</v>
      </c>
      <c r="C202" s="2" t="s">
        <v>7</v>
      </c>
      <c r="D202" s="5">
        <v>0.942516666666667</v>
      </c>
      <c r="E202">
        <v>0.44294</v>
      </c>
      <c r="F202" s="5">
        <f t="shared" si="6"/>
        <v>0.499576666666667</v>
      </c>
      <c r="G202">
        <v>4</v>
      </c>
      <c r="H202">
        <f t="shared" si="7"/>
        <v>28.405633200000018</v>
      </c>
    </row>
    <row r="203" spans="1:8">
      <c r="A203" s="1" t="s">
        <v>36</v>
      </c>
      <c r="B203" s="1" t="s">
        <v>40</v>
      </c>
      <c r="C203" s="2" t="s">
        <v>8</v>
      </c>
      <c r="D203" s="5">
        <v>1.1496166666666701</v>
      </c>
      <c r="E203">
        <v>0.44294</v>
      </c>
      <c r="F203" s="5">
        <f t="shared" si="6"/>
        <v>0.70667666666667006</v>
      </c>
      <c r="G203">
        <v>4</v>
      </c>
      <c r="H203">
        <f t="shared" si="7"/>
        <v>40.110925200000196</v>
      </c>
    </row>
    <row r="204" spans="1:8">
      <c r="A204" s="1" t="s">
        <v>36</v>
      </c>
      <c r="B204" s="1" t="s">
        <v>40</v>
      </c>
      <c r="C204" s="2" t="s">
        <v>10</v>
      </c>
      <c r="D204" s="5">
        <v>1.21891666666667</v>
      </c>
      <c r="E204">
        <v>0.44294</v>
      </c>
      <c r="F204" s="5">
        <f t="shared" si="6"/>
        <v>0.77597666666666998</v>
      </c>
      <c r="G204">
        <v>4</v>
      </c>
      <c r="H204">
        <f t="shared" si="7"/>
        <v>44.027761200000192</v>
      </c>
    </row>
    <row r="205" spans="1:8">
      <c r="A205" s="1" t="s">
        <v>36</v>
      </c>
      <c r="B205" s="1" t="s">
        <v>40</v>
      </c>
      <c r="C205" s="2" t="s">
        <v>11</v>
      </c>
      <c r="D205" s="5">
        <v>1.1534166666666701</v>
      </c>
      <c r="E205">
        <v>0.44294</v>
      </c>
      <c r="F205" s="5">
        <f t="shared" si="6"/>
        <v>0.71047666666667009</v>
      </c>
      <c r="G205">
        <v>4</v>
      </c>
      <c r="H205">
        <f t="shared" si="7"/>
        <v>40.325701200000196</v>
      </c>
    </row>
    <row r="206" spans="1:8">
      <c r="A206" s="1" t="s">
        <v>36</v>
      </c>
      <c r="B206" s="1" t="s">
        <v>40</v>
      </c>
      <c r="C206" s="2" t="s">
        <v>12</v>
      </c>
      <c r="D206" s="5">
        <v>1.43201666666667</v>
      </c>
      <c r="E206">
        <v>0.44294</v>
      </c>
      <c r="F206" s="5">
        <f t="shared" si="6"/>
        <v>0.98907666666667005</v>
      </c>
      <c r="G206">
        <v>4</v>
      </c>
      <c r="H206">
        <f t="shared" si="7"/>
        <v>56.072173200000194</v>
      </c>
    </row>
    <row r="207" spans="1:8">
      <c r="A207" s="1" t="s">
        <v>36</v>
      </c>
      <c r="B207" s="1" t="s">
        <v>40</v>
      </c>
      <c r="C207" s="2" t="s">
        <v>14</v>
      </c>
      <c r="D207" s="5">
        <v>1.69411666666667</v>
      </c>
      <c r="E207">
        <v>0.44294</v>
      </c>
      <c r="F207" s="5">
        <f t="shared" si="6"/>
        <v>1.2511766666666699</v>
      </c>
      <c r="G207">
        <v>4</v>
      </c>
      <c r="H207">
        <f t="shared" si="7"/>
        <v>70.886065200000175</v>
      </c>
    </row>
    <row r="208" spans="1:8">
      <c r="A208" s="1" t="s">
        <v>36</v>
      </c>
      <c r="B208" s="1" t="s">
        <v>40</v>
      </c>
      <c r="C208" s="2" t="s">
        <v>15</v>
      </c>
      <c r="D208" s="6">
        <v>0.44400000000000001</v>
      </c>
      <c r="E208">
        <v>0.20327999999999999</v>
      </c>
      <c r="F208" s="5">
        <f t="shared" si="6"/>
        <v>0.24072000000000002</v>
      </c>
      <c r="G208">
        <v>10</v>
      </c>
      <c r="H208">
        <f t="shared" si="7"/>
        <v>34.437636000000005</v>
      </c>
    </row>
    <row r="209" spans="1:8">
      <c r="A209" s="1" t="s">
        <v>36</v>
      </c>
      <c r="B209" s="1" t="s">
        <v>40</v>
      </c>
      <c r="C209" s="2" t="s">
        <v>16</v>
      </c>
      <c r="D209" s="5">
        <v>1.4638166666666701</v>
      </c>
      <c r="E209">
        <v>0.44294</v>
      </c>
      <c r="F209" s="5">
        <f t="shared" si="6"/>
        <v>1.0208766666666702</v>
      </c>
      <c r="G209">
        <v>4</v>
      </c>
      <c r="H209">
        <f t="shared" si="7"/>
        <v>57.869509200000202</v>
      </c>
    </row>
    <row r="210" spans="1:8">
      <c r="A210" s="1" t="s">
        <v>36</v>
      </c>
      <c r="B210" s="1" t="s">
        <v>40</v>
      </c>
      <c r="C210" s="2" t="s">
        <v>18</v>
      </c>
      <c r="D210" s="5">
        <v>1.0299166666666699</v>
      </c>
      <c r="E210">
        <v>0.44294</v>
      </c>
      <c r="F210" s="5">
        <f t="shared" si="6"/>
        <v>0.58697666666666992</v>
      </c>
      <c r="G210">
        <v>4</v>
      </c>
      <c r="H210">
        <f t="shared" si="7"/>
        <v>33.345481200000187</v>
      </c>
    </row>
    <row r="211" spans="1:8">
      <c r="A211" s="1" t="s">
        <v>36</v>
      </c>
      <c r="B211" s="1" t="s">
        <v>40</v>
      </c>
      <c r="C211" s="2" t="s">
        <v>19</v>
      </c>
      <c r="D211" s="5">
        <v>1.1738166666666701</v>
      </c>
      <c r="E211">
        <v>0.44294</v>
      </c>
      <c r="F211" s="5">
        <f t="shared" si="6"/>
        <v>0.73087666666667006</v>
      </c>
      <c r="G211">
        <v>4</v>
      </c>
      <c r="H211">
        <f t="shared" si="7"/>
        <v>41.478709200000196</v>
      </c>
    </row>
    <row r="212" spans="1:8">
      <c r="A212" s="1" t="s">
        <v>36</v>
      </c>
      <c r="B212" s="1" t="s">
        <v>40</v>
      </c>
      <c r="C212" s="2" t="s">
        <v>20</v>
      </c>
      <c r="D212" s="5">
        <v>1.46231666666667</v>
      </c>
      <c r="E212">
        <v>0.44294</v>
      </c>
      <c r="F212" s="5">
        <f t="shared" si="6"/>
        <v>1.0193766666666702</v>
      </c>
      <c r="G212">
        <v>4</v>
      </c>
      <c r="H212">
        <f t="shared" si="7"/>
        <v>57.784729200000193</v>
      </c>
    </row>
    <row r="213" spans="1:8">
      <c r="A213" s="1" t="s">
        <v>36</v>
      </c>
      <c r="B213" s="1" t="s">
        <v>40</v>
      </c>
      <c r="C213" s="2" t="s">
        <v>22</v>
      </c>
      <c r="D213" s="5">
        <v>1.5968166666666701</v>
      </c>
      <c r="E213">
        <v>0.44294</v>
      </c>
      <c r="F213" s="5">
        <f t="shared" si="6"/>
        <v>1.1538766666666702</v>
      </c>
      <c r="G213">
        <v>4</v>
      </c>
      <c r="H213">
        <f t="shared" si="7"/>
        <v>65.386669200000199</v>
      </c>
    </row>
    <row r="214" spans="1:8">
      <c r="A214" s="1" t="s">
        <v>36</v>
      </c>
      <c r="B214" s="1" t="s">
        <v>40</v>
      </c>
      <c r="C214" s="2" t="s">
        <v>23</v>
      </c>
      <c r="D214" s="5">
        <v>1.0077166666666699</v>
      </c>
      <c r="E214">
        <v>0.44294</v>
      </c>
      <c r="F214" s="5">
        <f t="shared" si="6"/>
        <v>0.56477666666666992</v>
      </c>
      <c r="G214">
        <v>4</v>
      </c>
      <c r="H214">
        <f t="shared" si="7"/>
        <v>32.090737200000184</v>
      </c>
    </row>
    <row r="215" spans="1:8">
      <c r="A215" s="1" t="s">
        <v>36</v>
      </c>
      <c r="B215" s="1" t="s">
        <v>40</v>
      </c>
      <c r="C215" s="2" t="s">
        <v>24</v>
      </c>
      <c r="D215" s="5">
        <v>1.03961666666667</v>
      </c>
      <c r="E215">
        <v>0.44294</v>
      </c>
      <c r="F215" s="5">
        <f t="shared" si="6"/>
        <v>0.59667666666666996</v>
      </c>
      <c r="G215">
        <v>4</v>
      </c>
      <c r="H215">
        <f t="shared" si="7"/>
        <v>33.893725200000191</v>
      </c>
    </row>
    <row r="216" spans="1:8">
      <c r="A216" s="1" t="s">
        <v>36</v>
      </c>
      <c r="B216" s="1" t="s">
        <v>40</v>
      </c>
      <c r="C216" s="2" t="s">
        <v>26</v>
      </c>
      <c r="D216" s="5">
        <v>0.89871666666666705</v>
      </c>
      <c r="E216">
        <v>0.44294</v>
      </c>
      <c r="F216" s="5">
        <f t="shared" si="6"/>
        <v>0.45577666666666705</v>
      </c>
      <c r="G216">
        <v>4</v>
      </c>
      <c r="H216">
        <f t="shared" si="7"/>
        <v>25.930057200000022</v>
      </c>
    </row>
    <row r="217" spans="1:8">
      <c r="A217" s="1" t="s">
        <v>36</v>
      </c>
      <c r="B217" s="1" t="s">
        <v>40</v>
      </c>
      <c r="C217" s="2" t="s">
        <v>27</v>
      </c>
      <c r="D217" s="5">
        <v>0.99811666666666699</v>
      </c>
      <c r="E217">
        <v>0.44294</v>
      </c>
      <c r="F217" s="5">
        <f t="shared" si="6"/>
        <v>0.55517666666666698</v>
      </c>
      <c r="G217">
        <v>4</v>
      </c>
      <c r="H217">
        <f t="shared" si="7"/>
        <v>31.548145200000022</v>
      </c>
    </row>
    <row r="218" spans="1:8">
      <c r="A218" s="1" t="s">
        <v>36</v>
      </c>
      <c r="B218" s="1" t="s">
        <v>41</v>
      </c>
      <c r="C218" s="2" t="s">
        <v>4</v>
      </c>
      <c r="D218" s="5">
        <v>1.36306666666667</v>
      </c>
      <c r="E218">
        <v>0.44294</v>
      </c>
      <c r="F218" s="5">
        <f t="shared" si="6"/>
        <v>0.92012666666666998</v>
      </c>
      <c r="G218">
        <v>4</v>
      </c>
      <c r="H218">
        <f t="shared" si="7"/>
        <v>52.175119200000182</v>
      </c>
    </row>
    <row r="219" spans="1:8">
      <c r="A219" s="1" t="s">
        <v>36</v>
      </c>
      <c r="B219" s="1" t="s">
        <v>41</v>
      </c>
      <c r="C219" s="2" t="s">
        <v>6</v>
      </c>
      <c r="D219" s="5">
        <v>1.21186666666667</v>
      </c>
      <c r="E219">
        <v>0.44294</v>
      </c>
      <c r="F219" s="5">
        <f t="shared" si="6"/>
        <v>0.76892666666666998</v>
      </c>
      <c r="G219">
        <v>4</v>
      </c>
      <c r="H219">
        <f t="shared" si="7"/>
        <v>43.629295200000186</v>
      </c>
    </row>
    <row r="220" spans="1:8">
      <c r="A220" s="1" t="s">
        <v>36</v>
      </c>
      <c r="B220" s="1" t="s">
        <v>41</v>
      </c>
      <c r="C220" s="2" t="s">
        <v>7</v>
      </c>
      <c r="D220" s="5">
        <v>1.73966666666667</v>
      </c>
      <c r="E220">
        <v>0.44294</v>
      </c>
      <c r="F220" s="5">
        <f t="shared" si="6"/>
        <v>1.2967266666666699</v>
      </c>
      <c r="G220">
        <v>4</v>
      </c>
      <c r="H220">
        <f t="shared" si="7"/>
        <v>73.460551200000182</v>
      </c>
    </row>
    <row r="221" spans="1:8">
      <c r="A221" s="1" t="s">
        <v>36</v>
      </c>
      <c r="B221" s="1" t="s">
        <v>41</v>
      </c>
      <c r="C221" s="2" t="s">
        <v>8</v>
      </c>
      <c r="D221" s="5">
        <v>1.0529666666666699</v>
      </c>
      <c r="E221">
        <v>0.44294</v>
      </c>
      <c r="F221" s="5">
        <f t="shared" si="6"/>
        <v>0.61002666666666994</v>
      </c>
      <c r="G221">
        <v>4</v>
      </c>
      <c r="H221">
        <f t="shared" si="7"/>
        <v>34.648267200000184</v>
      </c>
    </row>
    <row r="222" spans="1:8">
      <c r="A222" s="1" t="s">
        <v>36</v>
      </c>
      <c r="B222" s="1" t="s">
        <v>41</v>
      </c>
      <c r="C222" s="2" t="s">
        <v>10</v>
      </c>
      <c r="D222" s="5">
        <v>1.12876666666667</v>
      </c>
      <c r="E222">
        <v>0.44294</v>
      </c>
      <c r="F222" s="5">
        <f t="shared" si="6"/>
        <v>0.68582666666667003</v>
      </c>
      <c r="G222">
        <v>4</v>
      </c>
      <c r="H222">
        <f t="shared" si="7"/>
        <v>38.932483200000192</v>
      </c>
    </row>
    <row r="223" spans="1:8">
      <c r="A223" s="1" t="s">
        <v>36</v>
      </c>
      <c r="B223" s="1" t="s">
        <v>41</v>
      </c>
      <c r="C223" s="2" t="s">
        <v>11</v>
      </c>
      <c r="D223" s="5">
        <v>1.25766666666667</v>
      </c>
      <c r="E223">
        <v>0.44294</v>
      </c>
      <c r="F223" s="5">
        <f t="shared" si="6"/>
        <v>0.81472666666667004</v>
      </c>
      <c r="G223">
        <v>4</v>
      </c>
      <c r="H223">
        <f t="shared" si="7"/>
        <v>46.217911200000195</v>
      </c>
    </row>
    <row r="224" spans="1:8">
      <c r="A224" s="1" t="s">
        <v>36</v>
      </c>
      <c r="B224" s="1" t="s">
        <v>41</v>
      </c>
      <c r="C224" s="2" t="s">
        <v>12</v>
      </c>
      <c r="D224" s="5">
        <v>1.60526666666667</v>
      </c>
      <c r="E224">
        <v>0.44294</v>
      </c>
      <c r="F224" s="5">
        <f t="shared" si="6"/>
        <v>1.1623266666666701</v>
      </c>
      <c r="G224">
        <v>4</v>
      </c>
      <c r="H224">
        <f t="shared" si="7"/>
        <v>65.864263200000195</v>
      </c>
    </row>
    <row r="225" spans="1:8">
      <c r="A225" s="1" t="s">
        <v>36</v>
      </c>
      <c r="B225" s="1" t="s">
        <v>41</v>
      </c>
      <c r="C225" s="2" t="s">
        <v>14</v>
      </c>
      <c r="D225" s="5">
        <v>1.2043666666666699</v>
      </c>
      <c r="E225">
        <v>0.44294</v>
      </c>
      <c r="F225" s="5">
        <f t="shared" si="6"/>
        <v>0.76142666666666992</v>
      </c>
      <c r="G225">
        <v>4</v>
      </c>
      <c r="H225">
        <f t="shared" si="7"/>
        <v>43.205395200000183</v>
      </c>
    </row>
    <row r="226" spans="1:8">
      <c r="A226" s="1" t="s">
        <v>36</v>
      </c>
      <c r="B226" s="1" t="s">
        <v>41</v>
      </c>
      <c r="C226" s="2" t="s">
        <v>15</v>
      </c>
      <c r="D226" s="5">
        <v>0.77296666666666702</v>
      </c>
      <c r="E226">
        <v>0.44294</v>
      </c>
      <c r="F226" s="5">
        <f t="shared" si="6"/>
        <v>0.33002666666666702</v>
      </c>
      <c r="G226">
        <v>4</v>
      </c>
      <c r="H226">
        <f t="shared" si="7"/>
        <v>18.822667200000019</v>
      </c>
    </row>
    <row r="227" spans="1:8">
      <c r="A227" s="1" t="s">
        <v>36</v>
      </c>
      <c r="B227" s="1" t="s">
        <v>41</v>
      </c>
      <c r="C227" s="2" t="s">
        <v>16</v>
      </c>
      <c r="D227" s="5">
        <v>1.3865666666666701</v>
      </c>
      <c r="E227">
        <v>0.44294</v>
      </c>
      <c r="F227" s="5">
        <f t="shared" si="6"/>
        <v>0.94362666666667006</v>
      </c>
      <c r="G227">
        <v>4</v>
      </c>
      <c r="H227">
        <f t="shared" si="7"/>
        <v>53.503339200000198</v>
      </c>
    </row>
    <row r="228" spans="1:8">
      <c r="A228" s="1" t="s">
        <v>36</v>
      </c>
      <c r="B228" s="1" t="s">
        <v>41</v>
      </c>
      <c r="C228" s="2" t="s">
        <v>18</v>
      </c>
      <c r="D228" s="5">
        <v>1.5616666666666701</v>
      </c>
      <c r="E228">
        <v>0.44294</v>
      </c>
      <c r="F228" s="5">
        <f t="shared" si="6"/>
        <v>1.11872666666667</v>
      </c>
      <c r="G228">
        <v>4</v>
      </c>
      <c r="H228">
        <f t="shared" si="7"/>
        <v>63.39999120000018</v>
      </c>
    </row>
    <row r="229" spans="1:8">
      <c r="A229" s="1" t="s">
        <v>36</v>
      </c>
      <c r="B229" s="1" t="s">
        <v>41</v>
      </c>
      <c r="C229" s="2" t="s">
        <v>19</v>
      </c>
      <c r="D229" s="5">
        <v>1.2183666666666699</v>
      </c>
      <c r="E229">
        <v>0.44294</v>
      </c>
      <c r="F229" s="5">
        <f t="shared" si="6"/>
        <v>0.77542666666666993</v>
      </c>
      <c r="G229">
        <v>4</v>
      </c>
      <c r="H229">
        <f t="shared" si="7"/>
        <v>43.996675200000183</v>
      </c>
    </row>
    <row r="230" spans="1:8">
      <c r="A230" s="1" t="s">
        <v>36</v>
      </c>
      <c r="B230" s="1" t="s">
        <v>41</v>
      </c>
      <c r="C230" s="2" t="s">
        <v>20</v>
      </c>
      <c r="D230" s="5">
        <v>1.0938666666666701</v>
      </c>
      <c r="E230">
        <v>0.44294</v>
      </c>
      <c r="F230" s="5">
        <f t="shared" si="6"/>
        <v>0.6509266666666701</v>
      </c>
      <c r="G230">
        <v>4</v>
      </c>
      <c r="H230">
        <f t="shared" si="7"/>
        <v>36.959935200000196</v>
      </c>
    </row>
    <row r="231" spans="1:8">
      <c r="A231" s="1" t="s">
        <v>36</v>
      </c>
      <c r="B231" s="1" t="s">
        <v>41</v>
      </c>
      <c r="C231" s="2" t="s">
        <v>22</v>
      </c>
      <c r="D231" s="5">
        <v>1.2351666666666701</v>
      </c>
      <c r="E231">
        <v>0.44294</v>
      </c>
      <c r="F231" s="5">
        <f t="shared" si="6"/>
        <v>0.79222666666667008</v>
      </c>
      <c r="G231">
        <v>4</v>
      </c>
      <c r="H231">
        <f t="shared" si="7"/>
        <v>44.946211200000192</v>
      </c>
    </row>
    <row r="232" spans="1:8">
      <c r="A232" s="1" t="s">
        <v>36</v>
      </c>
      <c r="B232" s="1" t="s">
        <v>41</v>
      </c>
      <c r="C232" s="2" t="s">
        <v>23</v>
      </c>
      <c r="D232" s="5">
        <v>1.16486666666667</v>
      </c>
      <c r="E232">
        <v>0.44294</v>
      </c>
      <c r="F232" s="5">
        <f t="shared" si="6"/>
        <v>0.72192666666667005</v>
      </c>
      <c r="G232">
        <v>4</v>
      </c>
      <c r="H232">
        <f t="shared" si="7"/>
        <v>40.97285520000019</v>
      </c>
    </row>
    <row r="233" spans="1:8">
      <c r="A233" s="1" t="s">
        <v>36</v>
      </c>
      <c r="B233" s="1" t="s">
        <v>41</v>
      </c>
      <c r="C233" s="2" t="s">
        <v>24</v>
      </c>
      <c r="D233" s="5">
        <v>1.2009666666666701</v>
      </c>
      <c r="E233">
        <v>0.44294</v>
      </c>
      <c r="F233" s="5">
        <f t="shared" si="6"/>
        <v>0.75802666666667007</v>
      </c>
      <c r="G233">
        <v>4</v>
      </c>
      <c r="H233">
        <f t="shared" si="7"/>
        <v>43.013227200000195</v>
      </c>
    </row>
    <row r="234" spans="1:8">
      <c r="A234" s="1" t="s">
        <v>36</v>
      </c>
      <c r="B234" s="1" t="s">
        <v>41</v>
      </c>
      <c r="C234" s="2" t="s">
        <v>26</v>
      </c>
      <c r="D234" s="5">
        <v>0.89726666666666699</v>
      </c>
      <c r="E234">
        <v>0.44294</v>
      </c>
      <c r="F234" s="5">
        <f t="shared" si="6"/>
        <v>0.45432666666666699</v>
      </c>
      <c r="G234">
        <v>4</v>
      </c>
      <c r="H234">
        <f t="shared" si="7"/>
        <v>25.848103200000022</v>
      </c>
    </row>
    <row r="235" spans="1:8">
      <c r="A235" s="1" t="s">
        <v>36</v>
      </c>
      <c r="B235" s="1" t="s">
        <v>41</v>
      </c>
      <c r="C235" s="2" t="s">
        <v>27</v>
      </c>
      <c r="D235" s="5">
        <v>1.05206666666667</v>
      </c>
      <c r="E235">
        <v>0.44294</v>
      </c>
      <c r="F235" s="5">
        <f t="shared" si="6"/>
        <v>0.60912666666667004</v>
      </c>
      <c r="G235">
        <v>4</v>
      </c>
      <c r="H235">
        <f t="shared" si="7"/>
        <v>34.597399200000197</v>
      </c>
    </row>
    <row r="236" spans="1:8">
      <c r="A236" s="1" t="s">
        <v>36</v>
      </c>
      <c r="B236" s="1" t="s">
        <v>42</v>
      </c>
      <c r="C236" s="2" t="s">
        <v>4</v>
      </c>
      <c r="D236" s="5">
        <v>1.01742857142857</v>
      </c>
      <c r="E236">
        <v>0.44294</v>
      </c>
      <c r="F236" s="5">
        <f t="shared" si="6"/>
        <v>0.57448857142857002</v>
      </c>
      <c r="G236">
        <v>4</v>
      </c>
      <c r="H236">
        <f t="shared" si="7"/>
        <v>32.639654057142778</v>
      </c>
    </row>
    <row r="237" spans="1:8">
      <c r="A237" s="1" t="s">
        <v>36</v>
      </c>
      <c r="B237" s="1" t="s">
        <v>42</v>
      </c>
      <c r="C237" s="2" t="s">
        <v>6</v>
      </c>
      <c r="D237" s="5">
        <v>1.0453285714285701</v>
      </c>
      <c r="E237">
        <v>0.44294</v>
      </c>
      <c r="F237" s="5">
        <f t="shared" si="6"/>
        <v>0.60238857142857005</v>
      </c>
      <c r="G237">
        <v>4</v>
      </c>
      <c r="H237">
        <f t="shared" si="7"/>
        <v>34.216562057142781</v>
      </c>
    </row>
    <row r="238" spans="1:8">
      <c r="A238" s="1" t="s">
        <v>36</v>
      </c>
      <c r="B238" s="1" t="s">
        <v>42</v>
      </c>
      <c r="C238" s="2" t="s">
        <v>7</v>
      </c>
      <c r="D238" s="5">
        <v>1.4263285714285701</v>
      </c>
      <c r="E238">
        <v>0.44294</v>
      </c>
      <c r="F238" s="5">
        <f t="shared" si="6"/>
        <v>0.98338857142857006</v>
      </c>
      <c r="G238">
        <v>4</v>
      </c>
      <c r="H238">
        <f t="shared" si="7"/>
        <v>55.750682057142782</v>
      </c>
    </row>
    <row r="239" spans="1:8">
      <c r="A239" s="1" t="s">
        <v>36</v>
      </c>
      <c r="B239" s="1" t="s">
        <v>42</v>
      </c>
      <c r="C239" s="2" t="s">
        <v>8</v>
      </c>
      <c r="D239" s="5">
        <v>1.1219285714285701</v>
      </c>
      <c r="E239">
        <v>0.44294</v>
      </c>
      <c r="F239" s="5">
        <f t="shared" si="6"/>
        <v>0.67898857142857005</v>
      </c>
      <c r="G239">
        <v>4</v>
      </c>
      <c r="H239">
        <f t="shared" si="7"/>
        <v>38.545994057142778</v>
      </c>
    </row>
    <row r="240" spans="1:8">
      <c r="A240" s="1" t="s">
        <v>36</v>
      </c>
      <c r="B240" s="1" t="s">
        <v>42</v>
      </c>
      <c r="C240" s="2" t="s">
        <v>10</v>
      </c>
      <c r="D240" s="5">
        <v>0.81552857142857105</v>
      </c>
      <c r="E240">
        <v>0.44294</v>
      </c>
      <c r="F240" s="5">
        <f t="shared" si="6"/>
        <v>0.37258857142857105</v>
      </c>
      <c r="G240">
        <v>4</v>
      </c>
      <c r="H240">
        <f t="shared" si="7"/>
        <v>21.228266057142836</v>
      </c>
    </row>
    <row r="241" spans="1:8">
      <c r="A241" s="1" t="s">
        <v>36</v>
      </c>
      <c r="B241" s="1" t="s">
        <v>42</v>
      </c>
      <c r="C241" s="2" t="s">
        <v>11</v>
      </c>
      <c r="D241" s="5">
        <v>1.4839285714285699</v>
      </c>
      <c r="E241">
        <v>0.44294</v>
      </c>
      <c r="F241" s="5">
        <f t="shared" si="6"/>
        <v>1.0409885714285698</v>
      </c>
      <c r="G241">
        <v>4</v>
      </c>
      <c r="H241">
        <f t="shared" si="7"/>
        <v>59.006234057142755</v>
      </c>
    </row>
    <row r="242" spans="1:8">
      <c r="A242" s="1" t="s">
        <v>36</v>
      </c>
      <c r="B242" s="1" t="s">
        <v>42</v>
      </c>
      <c r="C242" s="2" t="s">
        <v>12</v>
      </c>
      <c r="D242" s="5">
        <v>1.48492857142857</v>
      </c>
      <c r="E242">
        <v>0.44294</v>
      </c>
      <c r="F242" s="5">
        <f t="shared" si="6"/>
        <v>1.0419885714285702</v>
      </c>
      <c r="G242">
        <v>4</v>
      </c>
      <c r="H242">
        <f t="shared" si="7"/>
        <v>59.062754057142783</v>
      </c>
    </row>
    <row r="243" spans="1:8">
      <c r="A243" s="1" t="s">
        <v>36</v>
      </c>
      <c r="B243" s="1" t="s">
        <v>42</v>
      </c>
      <c r="C243" s="2" t="s">
        <v>14</v>
      </c>
      <c r="D243" s="5">
        <v>1.2261285714285699</v>
      </c>
      <c r="E243">
        <v>0.44294</v>
      </c>
      <c r="F243" s="5">
        <f t="shared" si="6"/>
        <v>0.7831885714285699</v>
      </c>
      <c r="G243">
        <v>4</v>
      </c>
      <c r="H243">
        <f t="shared" si="7"/>
        <v>44.435378057142771</v>
      </c>
    </row>
    <row r="244" spans="1:8">
      <c r="A244" s="1" t="s">
        <v>36</v>
      </c>
      <c r="B244" s="1" t="s">
        <v>42</v>
      </c>
      <c r="C244" s="2" t="s">
        <v>15</v>
      </c>
      <c r="D244" s="5">
        <v>1.61272857142857</v>
      </c>
      <c r="E244">
        <v>0.44294</v>
      </c>
      <c r="F244" s="5">
        <f t="shared" si="6"/>
        <v>1.1697885714285698</v>
      </c>
      <c r="G244">
        <v>4</v>
      </c>
      <c r="H244">
        <f t="shared" si="7"/>
        <v>66.286010057142761</v>
      </c>
    </row>
    <row r="245" spans="1:8">
      <c r="A245" s="1" t="s">
        <v>36</v>
      </c>
      <c r="B245" s="1" t="s">
        <v>42</v>
      </c>
      <c r="C245" s="2" t="s">
        <v>16</v>
      </c>
      <c r="D245" s="5">
        <v>1.3860285714285701</v>
      </c>
      <c r="E245">
        <v>0.44294</v>
      </c>
      <c r="F245" s="5">
        <f t="shared" si="6"/>
        <v>0.94308857142857005</v>
      </c>
      <c r="G245">
        <v>4</v>
      </c>
      <c r="H245">
        <f t="shared" si="7"/>
        <v>53.472926057142779</v>
      </c>
    </row>
    <row r="246" spans="1:8">
      <c r="A246" s="1" t="s">
        <v>36</v>
      </c>
      <c r="B246" s="1" t="s">
        <v>42</v>
      </c>
      <c r="C246" s="2" t="s">
        <v>18</v>
      </c>
      <c r="D246" s="5">
        <v>1.5402285714285699</v>
      </c>
      <c r="E246">
        <v>0.44294</v>
      </c>
      <c r="F246" s="5">
        <f t="shared" si="6"/>
        <v>1.0972885714285701</v>
      </c>
      <c r="G246">
        <v>4</v>
      </c>
      <c r="H246">
        <f t="shared" si="7"/>
        <v>62.188310057142779</v>
      </c>
    </row>
    <row r="247" spans="1:8">
      <c r="A247" s="1" t="s">
        <v>36</v>
      </c>
      <c r="B247" s="1" t="s">
        <v>42</v>
      </c>
      <c r="C247" s="2" t="s">
        <v>19</v>
      </c>
      <c r="D247" s="5">
        <v>0.80852857142857104</v>
      </c>
      <c r="E247">
        <v>0.44294</v>
      </c>
      <c r="F247" s="5">
        <f t="shared" si="6"/>
        <v>0.36558857142857104</v>
      </c>
      <c r="G247">
        <v>4</v>
      </c>
      <c r="H247">
        <f t="shared" si="7"/>
        <v>20.832626057142836</v>
      </c>
    </row>
    <row r="248" spans="1:8">
      <c r="A248" s="1" t="s">
        <v>36</v>
      </c>
      <c r="B248" s="1" t="s">
        <v>42</v>
      </c>
      <c r="C248" s="2" t="s">
        <v>20</v>
      </c>
      <c r="D248" s="5">
        <v>1.3953285714285699</v>
      </c>
      <c r="E248">
        <v>0.44294</v>
      </c>
      <c r="F248" s="5">
        <f t="shared" si="6"/>
        <v>0.95238857142856992</v>
      </c>
      <c r="G248">
        <v>4</v>
      </c>
      <c r="H248">
        <f t="shared" si="7"/>
        <v>53.99856205714277</v>
      </c>
    </row>
    <row r="249" spans="1:8">
      <c r="A249" s="1" t="s">
        <v>36</v>
      </c>
      <c r="B249" s="1" t="s">
        <v>42</v>
      </c>
      <c r="C249" s="2" t="s">
        <v>22</v>
      </c>
      <c r="D249" s="3">
        <v>0.7762</v>
      </c>
      <c r="E249">
        <v>0.20327999999999999</v>
      </c>
      <c r="F249" s="5">
        <f t="shared" si="6"/>
        <v>0.57291999999999998</v>
      </c>
      <c r="G249">
        <v>10</v>
      </c>
      <c r="H249">
        <f t="shared" si="7"/>
        <v>81.377496000000008</v>
      </c>
    </row>
    <row r="250" spans="1:8">
      <c r="A250" s="1" t="s">
        <v>36</v>
      </c>
      <c r="B250" s="1" t="s">
        <v>42</v>
      </c>
      <c r="C250" s="2" t="s">
        <v>23</v>
      </c>
      <c r="D250" s="5">
        <v>1.23322857142857</v>
      </c>
      <c r="E250">
        <v>0.44294</v>
      </c>
      <c r="F250" s="5">
        <f t="shared" si="6"/>
        <v>0.79028857142857001</v>
      </c>
      <c r="G250">
        <v>4</v>
      </c>
      <c r="H250">
        <f t="shared" si="7"/>
        <v>44.836670057142776</v>
      </c>
    </row>
    <row r="251" spans="1:8">
      <c r="A251" s="1" t="s">
        <v>36</v>
      </c>
      <c r="B251" s="1" t="s">
        <v>42</v>
      </c>
      <c r="C251" s="2" t="s">
        <v>24</v>
      </c>
      <c r="D251" s="5">
        <v>1.19262857142857</v>
      </c>
      <c r="E251">
        <v>0.44294</v>
      </c>
      <c r="F251" s="5">
        <f t="shared" si="6"/>
        <v>0.74968857142857004</v>
      </c>
      <c r="G251">
        <v>4</v>
      </c>
      <c r="H251">
        <f t="shared" si="7"/>
        <v>42.541958057142779</v>
      </c>
    </row>
    <row r="252" spans="1:8">
      <c r="A252" s="1" t="s">
        <v>36</v>
      </c>
      <c r="B252" s="1" t="s">
        <v>42</v>
      </c>
      <c r="C252" s="2" t="s">
        <v>26</v>
      </c>
      <c r="D252" s="5">
        <v>1.1835285714285699</v>
      </c>
      <c r="E252">
        <v>0.44294</v>
      </c>
      <c r="F252" s="5">
        <f t="shared" si="6"/>
        <v>0.74058857142856993</v>
      </c>
      <c r="G252">
        <v>4</v>
      </c>
      <c r="H252">
        <f t="shared" si="7"/>
        <v>42.027626057142776</v>
      </c>
    </row>
    <row r="253" spans="1:8">
      <c r="A253" s="1" t="s">
        <v>36</v>
      </c>
      <c r="B253" s="1" t="s">
        <v>42</v>
      </c>
      <c r="C253" s="2" t="s">
        <v>27</v>
      </c>
      <c r="D253" s="5">
        <v>1.0205285714285699</v>
      </c>
      <c r="E253">
        <v>0.44294</v>
      </c>
      <c r="F253" s="5">
        <f t="shared" si="6"/>
        <v>0.5775885714285699</v>
      </c>
      <c r="G253">
        <v>4</v>
      </c>
      <c r="H253">
        <f t="shared" si="7"/>
        <v>32.814866057142773</v>
      </c>
    </row>
    <row r="254" spans="1:8">
      <c r="A254" s="1" t="s">
        <v>36</v>
      </c>
      <c r="B254" s="1" t="s">
        <v>43</v>
      </c>
      <c r="C254" s="2" t="s">
        <v>4</v>
      </c>
      <c r="D254" s="5">
        <v>1.3068833333333301</v>
      </c>
      <c r="E254">
        <v>0.44294</v>
      </c>
      <c r="F254" s="5">
        <f t="shared" si="6"/>
        <v>0.86394333333333007</v>
      </c>
      <c r="G254">
        <v>4</v>
      </c>
      <c r="H254">
        <f t="shared" si="7"/>
        <v>48.999637199999817</v>
      </c>
    </row>
    <row r="255" spans="1:8">
      <c r="A255" s="1" t="s">
        <v>36</v>
      </c>
      <c r="B255" s="1" t="s">
        <v>43</v>
      </c>
      <c r="C255" s="2" t="s">
        <v>6</v>
      </c>
      <c r="D255" s="5">
        <v>1.01958333333333</v>
      </c>
      <c r="E255">
        <v>0.44294</v>
      </c>
      <c r="F255" s="5">
        <f t="shared" si="6"/>
        <v>0.57664333333332995</v>
      </c>
      <c r="G255">
        <v>4</v>
      </c>
      <c r="H255">
        <f t="shared" si="7"/>
        <v>32.761441199999815</v>
      </c>
    </row>
    <row r="256" spans="1:8">
      <c r="A256" s="1" t="s">
        <v>36</v>
      </c>
      <c r="B256" s="1" t="s">
        <v>43</v>
      </c>
      <c r="C256" s="2" t="s">
        <v>7</v>
      </c>
      <c r="D256" s="5">
        <v>1.3850833333333299</v>
      </c>
      <c r="E256">
        <v>0.44294</v>
      </c>
      <c r="F256" s="5">
        <f t="shared" si="6"/>
        <v>0.94214333333332989</v>
      </c>
      <c r="G256">
        <v>4</v>
      </c>
      <c r="H256">
        <f t="shared" si="7"/>
        <v>53.419501199999807</v>
      </c>
    </row>
    <row r="257" spans="1:8">
      <c r="A257" s="1" t="s">
        <v>36</v>
      </c>
      <c r="B257" s="1" t="s">
        <v>43</v>
      </c>
      <c r="C257" s="2" t="s">
        <v>8</v>
      </c>
      <c r="D257" s="5">
        <v>1.1434833333333301</v>
      </c>
      <c r="E257">
        <v>0.44294</v>
      </c>
      <c r="F257" s="5">
        <f t="shared" si="6"/>
        <v>0.70054333333333008</v>
      </c>
      <c r="G257">
        <v>4</v>
      </c>
      <c r="H257">
        <f t="shared" si="7"/>
        <v>39.764269199999816</v>
      </c>
    </row>
    <row r="258" spans="1:8">
      <c r="A258" s="1" t="s">
        <v>36</v>
      </c>
      <c r="B258" s="1" t="s">
        <v>43</v>
      </c>
      <c r="C258" s="2" t="s">
        <v>10</v>
      </c>
      <c r="D258" s="5">
        <v>1.0931833333333301</v>
      </c>
      <c r="E258">
        <v>0.44294</v>
      </c>
      <c r="F258" s="5">
        <f t="shared" si="6"/>
        <v>0.65024333333333006</v>
      </c>
      <c r="G258">
        <v>4</v>
      </c>
      <c r="H258">
        <f t="shared" si="7"/>
        <v>36.921313199999815</v>
      </c>
    </row>
    <row r="259" spans="1:8">
      <c r="A259" s="1" t="s">
        <v>36</v>
      </c>
      <c r="B259" s="1" t="s">
        <v>43</v>
      </c>
      <c r="C259" s="2" t="s">
        <v>11</v>
      </c>
      <c r="D259" s="5">
        <v>1.4369833333333299</v>
      </c>
      <c r="E259">
        <v>0.44294</v>
      </c>
      <c r="F259" s="5">
        <f t="shared" ref="F259:F289" si="8">D259-E259</f>
        <v>0.99404333333332995</v>
      </c>
      <c r="G259">
        <v>4</v>
      </c>
      <c r="H259">
        <f t="shared" si="7"/>
        <v>56.352889199999808</v>
      </c>
    </row>
    <row r="260" spans="1:8">
      <c r="A260" s="1" t="s">
        <v>36</v>
      </c>
      <c r="B260" s="1" t="s">
        <v>43</v>
      </c>
      <c r="C260" s="2" t="s">
        <v>12</v>
      </c>
      <c r="D260" s="5">
        <v>1.04368333333333</v>
      </c>
      <c r="E260">
        <v>0.44294</v>
      </c>
      <c r="F260" s="5">
        <f t="shared" si="8"/>
        <v>0.60074333333332997</v>
      </c>
      <c r="G260">
        <v>4</v>
      </c>
      <c r="H260">
        <f t="shared" ref="H260:H289" si="9">0.1413*(F260+0.003)*G260/0.01</f>
        <v>34.123573199999811</v>
      </c>
    </row>
    <row r="261" spans="1:8">
      <c r="A261" s="1" t="s">
        <v>36</v>
      </c>
      <c r="B261" s="1" t="s">
        <v>43</v>
      </c>
      <c r="C261" s="2" t="s">
        <v>14</v>
      </c>
      <c r="D261" s="5">
        <v>1.1112833333333301</v>
      </c>
      <c r="E261">
        <v>0.44294</v>
      </c>
      <c r="F261" s="5">
        <f t="shared" si="8"/>
        <v>0.66834333333333007</v>
      </c>
      <c r="G261">
        <v>4</v>
      </c>
      <c r="H261">
        <f t="shared" si="9"/>
        <v>37.944325199999817</v>
      </c>
    </row>
    <row r="262" spans="1:8">
      <c r="A262" s="1" t="s">
        <v>36</v>
      </c>
      <c r="B262" s="1" t="s">
        <v>43</v>
      </c>
      <c r="C262" s="2" t="s">
        <v>15</v>
      </c>
      <c r="D262" s="6">
        <v>0.61099999999999999</v>
      </c>
      <c r="E262">
        <v>0.20327999999999999</v>
      </c>
      <c r="F262" s="5">
        <f t="shared" si="8"/>
        <v>0.40771999999999997</v>
      </c>
      <c r="G262">
        <v>10</v>
      </c>
      <c r="H262">
        <f t="shared" si="9"/>
        <v>58.034735999999995</v>
      </c>
    </row>
    <row r="263" spans="1:8">
      <c r="A263" s="1" t="s">
        <v>36</v>
      </c>
      <c r="B263" s="1" t="s">
        <v>43</v>
      </c>
      <c r="C263" s="2" t="s">
        <v>16</v>
      </c>
      <c r="D263" s="5">
        <v>1.02908333333333</v>
      </c>
      <c r="E263">
        <v>0.44294</v>
      </c>
      <c r="F263" s="5">
        <f t="shared" si="8"/>
        <v>0.58614333333333002</v>
      </c>
      <c r="G263">
        <v>4</v>
      </c>
      <c r="H263">
        <f t="shared" si="9"/>
        <v>33.298381199999817</v>
      </c>
    </row>
    <row r="264" spans="1:8">
      <c r="A264" s="1" t="s">
        <v>36</v>
      </c>
      <c r="B264" s="1" t="s">
        <v>43</v>
      </c>
      <c r="C264" s="2" t="s">
        <v>18</v>
      </c>
      <c r="D264" s="5">
        <v>1.5989833333333301</v>
      </c>
      <c r="E264">
        <v>0.44294</v>
      </c>
      <c r="F264" s="5">
        <f t="shared" si="8"/>
        <v>1.1560433333333302</v>
      </c>
      <c r="G264">
        <v>4</v>
      </c>
      <c r="H264">
        <f t="shared" si="9"/>
        <v>65.509129199999819</v>
      </c>
    </row>
    <row r="265" spans="1:8">
      <c r="A265" s="1" t="s">
        <v>36</v>
      </c>
      <c r="B265" s="1" t="s">
        <v>43</v>
      </c>
      <c r="C265" s="2" t="s">
        <v>19</v>
      </c>
      <c r="D265" s="5">
        <v>1.0648833333333301</v>
      </c>
      <c r="E265">
        <v>0.44294</v>
      </c>
      <c r="F265" s="5">
        <f t="shared" si="8"/>
        <v>0.62194333333333007</v>
      </c>
      <c r="G265">
        <v>4</v>
      </c>
      <c r="H265">
        <f t="shared" si="9"/>
        <v>35.321797199999814</v>
      </c>
    </row>
    <row r="266" spans="1:8">
      <c r="A266" s="1" t="s">
        <v>36</v>
      </c>
      <c r="B266" s="1" t="s">
        <v>43</v>
      </c>
      <c r="C266" s="2" t="s">
        <v>20</v>
      </c>
      <c r="D266" s="5">
        <v>1.2596833333333299</v>
      </c>
      <c r="E266">
        <v>0.44294</v>
      </c>
      <c r="F266" s="5">
        <f t="shared" si="8"/>
        <v>0.81674333333332994</v>
      </c>
      <c r="G266">
        <v>4</v>
      </c>
      <c r="H266">
        <f t="shared" si="9"/>
        <v>46.331893199999811</v>
      </c>
    </row>
    <row r="267" spans="1:8">
      <c r="A267" s="1" t="s">
        <v>36</v>
      </c>
      <c r="B267" s="1" t="s">
        <v>43</v>
      </c>
      <c r="C267" s="2" t="s">
        <v>22</v>
      </c>
      <c r="D267" s="5">
        <v>1.2657833333333299</v>
      </c>
      <c r="E267">
        <v>0.44294</v>
      </c>
      <c r="F267" s="5">
        <f t="shared" si="8"/>
        <v>0.82284333333332993</v>
      </c>
      <c r="G267">
        <v>4</v>
      </c>
      <c r="H267">
        <f t="shared" si="9"/>
        <v>46.67666519999981</v>
      </c>
    </row>
    <row r="268" spans="1:8">
      <c r="A268" s="1" t="s">
        <v>36</v>
      </c>
      <c r="B268" s="1" t="s">
        <v>43</v>
      </c>
      <c r="C268" s="2" t="s">
        <v>23</v>
      </c>
      <c r="D268" s="5">
        <v>1.1547833333333299</v>
      </c>
      <c r="E268">
        <v>0.44294</v>
      </c>
      <c r="F268" s="5">
        <f t="shared" si="8"/>
        <v>0.71184333333332994</v>
      </c>
      <c r="G268">
        <v>4</v>
      </c>
      <c r="H268">
        <f t="shared" si="9"/>
        <v>40.402945199999813</v>
      </c>
    </row>
    <row r="269" spans="1:8">
      <c r="A269" s="1" t="s">
        <v>36</v>
      </c>
      <c r="B269" s="1" t="s">
        <v>43</v>
      </c>
      <c r="C269" s="2" t="s">
        <v>24</v>
      </c>
      <c r="D269" s="5">
        <v>0.92268333333333297</v>
      </c>
      <c r="E269">
        <v>0.44294</v>
      </c>
      <c r="F269" s="5">
        <f t="shared" si="8"/>
        <v>0.47974333333333297</v>
      </c>
      <c r="G269">
        <v>4</v>
      </c>
      <c r="H269">
        <f t="shared" si="9"/>
        <v>27.28465319999998</v>
      </c>
    </row>
    <row r="270" spans="1:8">
      <c r="A270" s="1" t="s">
        <v>36</v>
      </c>
      <c r="B270" s="1" t="s">
        <v>43</v>
      </c>
      <c r="C270" s="2" t="s">
        <v>26</v>
      </c>
      <c r="D270" s="5">
        <v>1.05958333333333</v>
      </c>
      <c r="E270">
        <v>0.44294</v>
      </c>
      <c r="F270" s="5">
        <f t="shared" si="8"/>
        <v>0.61664333333332999</v>
      </c>
      <c r="G270">
        <v>4</v>
      </c>
      <c r="H270">
        <f t="shared" si="9"/>
        <v>35.022241199999812</v>
      </c>
    </row>
    <row r="271" spans="1:8">
      <c r="A271" s="1" t="s">
        <v>36</v>
      </c>
      <c r="B271" s="1" t="s">
        <v>43</v>
      </c>
      <c r="C271" s="2" t="s">
        <v>27</v>
      </c>
      <c r="D271" s="5">
        <v>1.15238333333333</v>
      </c>
      <c r="E271">
        <v>0.44294</v>
      </c>
      <c r="F271" s="5">
        <f t="shared" si="8"/>
        <v>0.70944333333332998</v>
      </c>
      <c r="G271">
        <v>4</v>
      </c>
      <c r="H271">
        <f t="shared" si="9"/>
        <v>40.26729719999981</v>
      </c>
    </row>
    <row r="272" spans="1:8">
      <c r="A272" s="1" t="s">
        <v>36</v>
      </c>
      <c r="B272" s="1" t="s">
        <v>44</v>
      </c>
      <c r="C272" s="2" t="s">
        <v>4</v>
      </c>
      <c r="D272" s="5">
        <v>1.4788333333333299</v>
      </c>
      <c r="E272">
        <v>0.44294</v>
      </c>
      <c r="F272" s="5">
        <f t="shared" si="8"/>
        <v>1.03589333333333</v>
      </c>
      <c r="G272">
        <v>4</v>
      </c>
      <c r="H272">
        <f t="shared" si="9"/>
        <v>58.718251199999806</v>
      </c>
    </row>
    <row r="273" spans="1:8">
      <c r="A273" s="1" t="s">
        <v>36</v>
      </c>
      <c r="B273" s="1" t="s">
        <v>44</v>
      </c>
      <c r="C273" s="2" t="s">
        <v>6</v>
      </c>
      <c r="D273" s="5">
        <v>1.0678333333333301</v>
      </c>
      <c r="E273">
        <v>0.44294</v>
      </c>
      <c r="F273" s="5">
        <f t="shared" si="8"/>
        <v>0.62489333333333008</v>
      </c>
      <c r="G273">
        <v>4</v>
      </c>
      <c r="H273">
        <f t="shared" si="9"/>
        <v>35.488531199999819</v>
      </c>
    </row>
    <row r="274" spans="1:8">
      <c r="A274" s="1" t="s">
        <v>36</v>
      </c>
      <c r="B274" s="1" t="s">
        <v>44</v>
      </c>
      <c r="C274" s="2" t="s">
        <v>7</v>
      </c>
      <c r="D274" s="5">
        <v>1.0700333333333301</v>
      </c>
      <c r="E274">
        <v>0.44294</v>
      </c>
      <c r="F274" s="5">
        <f t="shared" si="8"/>
        <v>0.62709333333333006</v>
      </c>
      <c r="G274">
        <v>4</v>
      </c>
      <c r="H274">
        <f t="shared" si="9"/>
        <v>35.612875199999813</v>
      </c>
    </row>
    <row r="275" spans="1:8">
      <c r="A275" s="1" t="s">
        <v>36</v>
      </c>
      <c r="B275" s="1" t="s">
        <v>44</v>
      </c>
      <c r="C275" s="2" t="s">
        <v>8</v>
      </c>
      <c r="D275" s="5">
        <v>1.0217333333333301</v>
      </c>
      <c r="E275">
        <v>0.44294</v>
      </c>
      <c r="F275" s="5">
        <f t="shared" si="8"/>
        <v>0.57879333333333005</v>
      </c>
      <c r="G275">
        <v>4</v>
      </c>
      <c r="H275">
        <f t="shared" si="9"/>
        <v>32.882959199999817</v>
      </c>
    </row>
    <row r="276" spans="1:8">
      <c r="A276" s="1" t="s">
        <v>36</v>
      </c>
      <c r="B276" s="1" t="s">
        <v>44</v>
      </c>
      <c r="C276" s="2" t="s">
        <v>10</v>
      </c>
      <c r="D276" s="5">
        <v>1.30013333333333</v>
      </c>
      <c r="E276">
        <v>0.44294</v>
      </c>
      <c r="F276" s="5">
        <f t="shared" si="8"/>
        <v>0.85719333333333003</v>
      </c>
      <c r="G276">
        <v>4</v>
      </c>
      <c r="H276">
        <f t="shared" si="9"/>
        <v>48.618127199999819</v>
      </c>
    </row>
    <row r="277" spans="1:8">
      <c r="A277" s="1" t="s">
        <v>36</v>
      </c>
      <c r="B277" s="1" t="s">
        <v>44</v>
      </c>
      <c r="C277" s="2" t="s">
        <v>11</v>
      </c>
      <c r="D277" s="5">
        <v>1.33103333333333</v>
      </c>
      <c r="E277">
        <v>0.44294</v>
      </c>
      <c r="F277" s="5">
        <f t="shared" si="8"/>
        <v>0.88809333333332996</v>
      </c>
      <c r="G277">
        <v>4</v>
      </c>
      <c r="H277">
        <f t="shared" si="9"/>
        <v>50.364595199999819</v>
      </c>
    </row>
    <row r="278" spans="1:8">
      <c r="A278" s="1" t="s">
        <v>36</v>
      </c>
      <c r="B278" s="1" t="s">
        <v>44</v>
      </c>
      <c r="C278" s="2" t="s">
        <v>12</v>
      </c>
      <c r="D278" s="5">
        <v>1.36673333333333</v>
      </c>
      <c r="E278">
        <v>0.44294</v>
      </c>
      <c r="F278" s="5">
        <f t="shared" si="8"/>
        <v>0.92379333333333002</v>
      </c>
      <c r="G278">
        <v>4</v>
      </c>
      <c r="H278">
        <f t="shared" si="9"/>
        <v>52.382359199999819</v>
      </c>
    </row>
    <row r="279" spans="1:8">
      <c r="A279" s="1" t="s">
        <v>36</v>
      </c>
      <c r="B279" s="1" t="s">
        <v>44</v>
      </c>
      <c r="C279" s="2" t="s">
        <v>14</v>
      </c>
      <c r="D279" s="6">
        <v>0.58499999999999996</v>
      </c>
      <c r="E279">
        <v>0.20327999999999999</v>
      </c>
      <c r="F279" s="5">
        <f t="shared" si="8"/>
        <v>0.38171999999999995</v>
      </c>
      <c r="G279">
        <v>10</v>
      </c>
      <c r="H279">
        <f t="shared" si="9"/>
        <v>54.360936000000002</v>
      </c>
    </row>
    <row r="280" spans="1:8">
      <c r="A280" s="1" t="s">
        <v>36</v>
      </c>
      <c r="B280" s="1" t="s">
        <v>44</v>
      </c>
      <c r="C280" s="2" t="s">
        <v>15</v>
      </c>
      <c r="D280" s="5">
        <v>1.2615333333333301</v>
      </c>
      <c r="E280">
        <v>0.44294</v>
      </c>
      <c r="F280" s="5">
        <f t="shared" si="8"/>
        <v>0.81859333333333006</v>
      </c>
      <c r="G280">
        <v>4</v>
      </c>
      <c r="H280">
        <f t="shared" si="9"/>
        <v>46.43645519999982</v>
      </c>
    </row>
    <row r="281" spans="1:8">
      <c r="A281" s="1" t="s">
        <v>36</v>
      </c>
      <c r="B281" s="1" t="s">
        <v>44</v>
      </c>
      <c r="C281" s="2" t="s">
        <v>16</v>
      </c>
      <c r="D281" s="5">
        <v>1.2043333333333299</v>
      </c>
      <c r="E281">
        <v>0.44294</v>
      </c>
      <c r="F281" s="5">
        <f t="shared" si="8"/>
        <v>0.76139333333332992</v>
      </c>
      <c r="G281">
        <v>4</v>
      </c>
      <c r="H281">
        <f t="shared" si="9"/>
        <v>43.203511199999809</v>
      </c>
    </row>
    <row r="282" spans="1:8">
      <c r="A282" s="1" t="s">
        <v>36</v>
      </c>
      <c r="B282" s="1" t="s">
        <v>44</v>
      </c>
      <c r="C282" s="2" t="s">
        <v>18</v>
      </c>
      <c r="D282" s="5">
        <v>1.0335333333333301</v>
      </c>
      <c r="E282">
        <v>0.44294</v>
      </c>
      <c r="F282" s="5">
        <f t="shared" si="8"/>
        <v>0.59059333333333008</v>
      </c>
      <c r="G282">
        <v>4</v>
      </c>
      <c r="H282">
        <f t="shared" si="9"/>
        <v>33.549895199999817</v>
      </c>
    </row>
    <row r="283" spans="1:8">
      <c r="A283" s="1" t="s">
        <v>36</v>
      </c>
      <c r="B283" s="1" t="s">
        <v>44</v>
      </c>
      <c r="C283" s="2" t="s">
        <v>19</v>
      </c>
      <c r="D283" s="5">
        <v>1.4301333333333299</v>
      </c>
      <c r="E283">
        <v>0.44294</v>
      </c>
      <c r="F283" s="5">
        <f t="shared" si="8"/>
        <v>0.98719333333332993</v>
      </c>
      <c r="G283">
        <v>4</v>
      </c>
      <c r="H283">
        <f t="shared" si="9"/>
        <v>55.965727199999812</v>
      </c>
    </row>
    <row r="284" spans="1:8">
      <c r="A284" s="1" t="s">
        <v>36</v>
      </c>
      <c r="B284" s="1" t="s">
        <v>44</v>
      </c>
      <c r="C284" s="2" t="s">
        <v>20</v>
      </c>
      <c r="D284" s="5">
        <v>1.30263333333333</v>
      </c>
      <c r="E284">
        <v>0.44294</v>
      </c>
      <c r="F284" s="5">
        <f t="shared" si="8"/>
        <v>0.85969333333332998</v>
      </c>
      <c r="G284">
        <v>4</v>
      </c>
      <c r="H284">
        <f t="shared" si="9"/>
        <v>48.759427199999813</v>
      </c>
    </row>
    <row r="285" spans="1:8">
      <c r="A285" s="1" t="s">
        <v>36</v>
      </c>
      <c r="B285" s="1" t="s">
        <v>44</v>
      </c>
      <c r="C285" s="2" t="s">
        <v>22</v>
      </c>
      <c r="D285" s="5">
        <v>1.21793333333333</v>
      </c>
      <c r="E285">
        <v>0.44294</v>
      </c>
      <c r="F285" s="5">
        <f t="shared" si="8"/>
        <v>0.77499333333332998</v>
      </c>
      <c r="G285">
        <v>4</v>
      </c>
      <c r="H285">
        <f t="shared" si="9"/>
        <v>43.972183199999812</v>
      </c>
    </row>
    <row r="286" spans="1:8">
      <c r="A286" s="1" t="s">
        <v>36</v>
      </c>
      <c r="B286" s="1" t="s">
        <v>44</v>
      </c>
      <c r="C286" s="2" t="s">
        <v>23</v>
      </c>
      <c r="D286" s="5">
        <v>1.4746333333333299</v>
      </c>
      <c r="E286">
        <v>0.44294</v>
      </c>
      <c r="F286" s="5">
        <f t="shared" si="8"/>
        <v>1.03169333333333</v>
      </c>
      <c r="G286">
        <v>4</v>
      </c>
      <c r="H286">
        <f t="shared" si="9"/>
        <v>58.480867199999807</v>
      </c>
    </row>
    <row r="287" spans="1:8">
      <c r="A287" s="1" t="s">
        <v>36</v>
      </c>
      <c r="B287" s="1" t="s">
        <v>44</v>
      </c>
      <c r="C287" s="2" t="s">
        <v>24</v>
      </c>
      <c r="D287" s="5">
        <v>1.3014333333333299</v>
      </c>
      <c r="E287">
        <v>0.44294</v>
      </c>
      <c r="F287" s="5">
        <f t="shared" si="8"/>
        <v>0.85849333333332989</v>
      </c>
      <c r="G287">
        <v>4</v>
      </c>
      <c r="H287">
        <f t="shared" si="9"/>
        <v>48.691603199999811</v>
      </c>
    </row>
    <row r="288" spans="1:8">
      <c r="A288" s="1" t="s">
        <v>36</v>
      </c>
      <c r="B288" s="1" t="s">
        <v>44</v>
      </c>
      <c r="C288" s="2" t="s">
        <v>26</v>
      </c>
      <c r="D288" s="5">
        <v>1.33093333333333</v>
      </c>
      <c r="E288">
        <v>0.44294</v>
      </c>
      <c r="F288" s="5">
        <f t="shared" si="8"/>
        <v>0.88799333333332997</v>
      </c>
      <c r="G288">
        <v>4</v>
      </c>
      <c r="H288">
        <f t="shared" si="9"/>
        <v>50.358943199999814</v>
      </c>
    </row>
    <row r="289" spans="1:8">
      <c r="A289" s="1" t="s">
        <v>36</v>
      </c>
      <c r="B289" s="1" t="s">
        <v>44</v>
      </c>
      <c r="C289" s="2" t="s">
        <v>27</v>
      </c>
      <c r="D289" s="5">
        <v>1.17933333333333</v>
      </c>
      <c r="E289">
        <v>0.44294</v>
      </c>
      <c r="F289" s="5">
        <f t="shared" si="8"/>
        <v>0.73639333333333001</v>
      </c>
      <c r="G289">
        <v>4</v>
      </c>
      <c r="H289">
        <f t="shared" si="9"/>
        <v>41.790511199999813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2438-14A6-D949-8887-4744558BDBD4}">
  <dimension ref="A1:H289"/>
  <sheetViews>
    <sheetView topLeftCell="B1" zoomScale="125" workbookViewId="0">
      <selection activeCell="H2" sqref="H2:H289"/>
    </sheetView>
  </sheetViews>
  <sheetFormatPr baseColWidth="10" defaultRowHeight="16"/>
  <cols>
    <col min="1" max="3" width="10.83203125" style="1"/>
    <col min="4" max="4" width="10.83203125" style="5"/>
    <col min="7" max="7" width="17.1640625" bestFit="1" customWidth="1"/>
  </cols>
  <sheetData>
    <row r="1" spans="1:8">
      <c r="A1" s="1" t="s">
        <v>0</v>
      </c>
      <c r="B1" s="1" t="s">
        <v>1</v>
      </c>
      <c r="C1" s="1" t="s">
        <v>3</v>
      </c>
      <c r="D1" s="4" t="s">
        <v>45</v>
      </c>
      <c r="E1" s="1" t="s">
        <v>46</v>
      </c>
      <c r="F1" s="1" t="s">
        <v>47</v>
      </c>
      <c r="G1" s="1" t="s">
        <v>59</v>
      </c>
      <c r="H1" s="1" t="s">
        <v>53</v>
      </c>
    </row>
    <row r="2" spans="1:8">
      <c r="A2" s="1" t="s">
        <v>35</v>
      </c>
      <c r="B2" s="1" t="s">
        <v>28</v>
      </c>
      <c r="C2" s="1" t="s">
        <v>5</v>
      </c>
      <c r="D2" s="5">
        <v>0.68010000000000004</v>
      </c>
      <c r="E2">
        <v>0.20327999999999999</v>
      </c>
      <c r="F2" s="5">
        <f>D2-E2</f>
        <v>0.47682000000000002</v>
      </c>
      <c r="G2">
        <v>10</v>
      </c>
      <c r="H2">
        <f>0.1413*(F2+0.003)*G2/0.01</f>
        <v>67.798566000000008</v>
      </c>
    </row>
    <row r="3" spans="1:8">
      <c r="A3" s="1" t="s">
        <v>35</v>
      </c>
      <c r="B3" s="1" t="s">
        <v>28</v>
      </c>
      <c r="C3" s="1" t="s">
        <v>6</v>
      </c>
      <c r="D3" s="5">
        <v>0.75360000000000005</v>
      </c>
      <c r="E3">
        <v>0.20327999999999999</v>
      </c>
      <c r="F3" s="5">
        <f t="shared" ref="F3:F66" si="0">D3-E3</f>
        <v>0.55032000000000003</v>
      </c>
      <c r="G3">
        <v>10</v>
      </c>
      <c r="H3">
        <f t="shared" ref="H3:H66" si="1">0.1413*(F3+0.003)*G3/0.01</f>
        <v>78.184116000000017</v>
      </c>
    </row>
    <row r="4" spans="1:8">
      <c r="A4" s="1" t="s">
        <v>35</v>
      </c>
      <c r="B4" s="1" t="s">
        <v>28</v>
      </c>
      <c r="C4" s="1" t="s">
        <v>7</v>
      </c>
      <c r="D4" s="5">
        <v>0.75639999999999996</v>
      </c>
      <c r="E4">
        <v>0.20327999999999999</v>
      </c>
      <c r="F4" s="5">
        <f t="shared" si="0"/>
        <v>0.55311999999999995</v>
      </c>
      <c r="G4">
        <v>10</v>
      </c>
      <c r="H4">
        <f t="shared" si="1"/>
        <v>78.579756000000003</v>
      </c>
    </row>
    <row r="5" spans="1:8">
      <c r="A5" s="1" t="s">
        <v>35</v>
      </c>
      <c r="B5" s="1" t="s">
        <v>28</v>
      </c>
      <c r="C5" s="1" t="s">
        <v>9</v>
      </c>
      <c r="D5" s="5">
        <v>0.58860000000000001</v>
      </c>
      <c r="E5">
        <v>0.20327999999999999</v>
      </c>
      <c r="F5" s="5">
        <f t="shared" si="0"/>
        <v>0.38532</v>
      </c>
      <c r="G5">
        <v>10</v>
      </c>
      <c r="H5">
        <f t="shared" si="1"/>
        <v>54.869616000000001</v>
      </c>
    </row>
    <row r="6" spans="1:8">
      <c r="A6" s="1" t="s">
        <v>35</v>
      </c>
      <c r="B6" s="1" t="s">
        <v>28</v>
      </c>
      <c r="C6" s="1" t="s">
        <v>10</v>
      </c>
      <c r="D6" s="5">
        <v>0.59840000000000004</v>
      </c>
      <c r="E6">
        <v>0.20327999999999999</v>
      </c>
      <c r="F6" s="5">
        <f t="shared" si="0"/>
        <v>0.39512000000000003</v>
      </c>
      <c r="G6">
        <v>10</v>
      </c>
      <c r="H6">
        <f t="shared" si="1"/>
        <v>56.254356000000001</v>
      </c>
    </row>
    <row r="7" spans="1:8">
      <c r="A7" s="1" t="s">
        <v>35</v>
      </c>
      <c r="B7" s="1" t="s">
        <v>28</v>
      </c>
      <c r="C7" s="1" t="s">
        <v>11</v>
      </c>
      <c r="D7" s="5">
        <v>0.70450000000000002</v>
      </c>
      <c r="E7">
        <v>0.20327999999999999</v>
      </c>
      <c r="F7" s="5">
        <f t="shared" si="0"/>
        <v>0.50122</v>
      </c>
      <c r="G7">
        <v>10</v>
      </c>
      <c r="H7">
        <f t="shared" si="1"/>
        <v>71.246285999999998</v>
      </c>
    </row>
    <row r="8" spans="1:8">
      <c r="A8" s="1" t="s">
        <v>35</v>
      </c>
      <c r="B8" s="1" t="s">
        <v>28</v>
      </c>
      <c r="C8" s="1" t="s">
        <v>13</v>
      </c>
      <c r="D8" s="5">
        <v>0.51280000000000003</v>
      </c>
      <c r="E8">
        <v>0.20327999999999999</v>
      </c>
      <c r="F8" s="5">
        <f t="shared" si="0"/>
        <v>0.30952000000000002</v>
      </c>
      <c r="G8">
        <v>10</v>
      </c>
      <c r="H8">
        <f t="shared" si="1"/>
        <v>44.159076000000006</v>
      </c>
    </row>
    <row r="9" spans="1:8">
      <c r="A9" s="1" t="s">
        <v>35</v>
      </c>
      <c r="B9" s="1" t="s">
        <v>28</v>
      </c>
      <c r="C9" s="1" t="s">
        <v>14</v>
      </c>
      <c r="D9" s="5">
        <v>0.84640000000000004</v>
      </c>
      <c r="E9">
        <v>0.20327999999999999</v>
      </c>
      <c r="F9" s="5">
        <f t="shared" si="0"/>
        <v>0.64312000000000002</v>
      </c>
      <c r="G9">
        <v>10</v>
      </c>
      <c r="H9">
        <f t="shared" si="1"/>
        <v>91.296756000000002</v>
      </c>
    </row>
    <row r="10" spans="1:8">
      <c r="A10" s="1" t="s">
        <v>35</v>
      </c>
      <c r="B10" s="1" t="s">
        <v>28</v>
      </c>
      <c r="C10" s="1" t="s">
        <v>15</v>
      </c>
      <c r="D10" s="5">
        <v>0.69540000000000002</v>
      </c>
      <c r="E10">
        <v>0.20327999999999999</v>
      </c>
      <c r="F10" s="5">
        <f t="shared" si="0"/>
        <v>0.49212</v>
      </c>
      <c r="G10">
        <v>10</v>
      </c>
      <c r="H10">
        <f t="shared" si="1"/>
        <v>69.960456000000008</v>
      </c>
    </row>
    <row r="11" spans="1:8">
      <c r="A11" s="1" t="s">
        <v>35</v>
      </c>
      <c r="B11" s="1" t="s">
        <v>28</v>
      </c>
      <c r="C11" s="1" t="s">
        <v>17</v>
      </c>
      <c r="D11" s="5">
        <v>0.53659999999999997</v>
      </c>
      <c r="E11">
        <v>0.20327999999999999</v>
      </c>
      <c r="F11" s="5">
        <f t="shared" si="0"/>
        <v>0.33331999999999995</v>
      </c>
      <c r="G11">
        <v>10</v>
      </c>
      <c r="H11">
        <f t="shared" si="1"/>
        <v>47.522015999999994</v>
      </c>
    </row>
    <row r="12" spans="1:8">
      <c r="A12" s="1" t="s">
        <v>35</v>
      </c>
      <c r="B12" s="1" t="s">
        <v>28</v>
      </c>
      <c r="C12" s="1" t="s">
        <v>18</v>
      </c>
      <c r="D12" s="5">
        <v>0.60950000000000004</v>
      </c>
      <c r="E12">
        <v>0.20327999999999999</v>
      </c>
      <c r="F12" s="5">
        <f t="shared" si="0"/>
        <v>0.40622000000000003</v>
      </c>
      <c r="G12">
        <v>10</v>
      </c>
      <c r="H12">
        <f t="shared" si="1"/>
        <v>57.822786000000001</v>
      </c>
    </row>
    <row r="13" spans="1:8">
      <c r="A13" s="1" t="s">
        <v>35</v>
      </c>
      <c r="B13" s="1" t="s">
        <v>28</v>
      </c>
      <c r="C13" s="1" t="s">
        <v>19</v>
      </c>
      <c r="D13" s="5">
        <v>0.54259999999999997</v>
      </c>
      <c r="E13">
        <v>0.20327999999999999</v>
      </c>
      <c r="F13" s="5">
        <f t="shared" si="0"/>
        <v>0.33931999999999995</v>
      </c>
      <c r="G13">
        <v>10</v>
      </c>
      <c r="H13">
        <f t="shared" si="1"/>
        <v>48.369816</v>
      </c>
    </row>
    <row r="14" spans="1:8">
      <c r="A14" s="1" t="s">
        <v>35</v>
      </c>
      <c r="B14" s="1" t="s">
        <v>28</v>
      </c>
      <c r="C14" s="1" t="s">
        <v>21</v>
      </c>
      <c r="D14" s="5">
        <v>0.61240000000000006</v>
      </c>
      <c r="E14">
        <v>0.20327999999999999</v>
      </c>
      <c r="F14" s="5">
        <f t="shared" si="0"/>
        <v>0.40912000000000004</v>
      </c>
      <c r="G14">
        <v>10</v>
      </c>
      <c r="H14">
        <f t="shared" si="1"/>
        <v>58.23255600000001</v>
      </c>
    </row>
    <row r="15" spans="1:8">
      <c r="A15" s="1" t="s">
        <v>35</v>
      </c>
      <c r="B15" s="1" t="s">
        <v>28</v>
      </c>
      <c r="C15" s="1" t="s">
        <v>22</v>
      </c>
      <c r="D15" s="5">
        <v>0.5464</v>
      </c>
      <c r="E15">
        <v>0.20327999999999999</v>
      </c>
      <c r="F15" s="5">
        <f t="shared" si="0"/>
        <v>0.34311999999999998</v>
      </c>
      <c r="G15">
        <v>10</v>
      </c>
      <c r="H15">
        <f t="shared" si="1"/>
        <v>48.906756000000001</v>
      </c>
    </row>
    <row r="16" spans="1:8">
      <c r="A16" s="1" t="s">
        <v>35</v>
      </c>
      <c r="B16" s="1" t="s">
        <v>28</v>
      </c>
      <c r="C16" s="1" t="s">
        <v>23</v>
      </c>
      <c r="D16" s="5">
        <v>0.50870000000000004</v>
      </c>
      <c r="E16">
        <v>0.20327999999999999</v>
      </c>
      <c r="F16" s="5">
        <f t="shared" si="0"/>
        <v>0.30542000000000002</v>
      </c>
      <c r="G16">
        <v>10</v>
      </c>
      <c r="H16">
        <f t="shared" si="1"/>
        <v>43.579746000000007</v>
      </c>
    </row>
    <row r="17" spans="1:8">
      <c r="A17" s="1" t="s">
        <v>35</v>
      </c>
      <c r="B17" s="1" t="s">
        <v>28</v>
      </c>
      <c r="C17" s="1" t="s">
        <v>25</v>
      </c>
      <c r="D17" s="5">
        <v>0.78220000000000001</v>
      </c>
      <c r="E17">
        <v>0.20327999999999999</v>
      </c>
      <c r="F17" s="5">
        <f t="shared" si="0"/>
        <v>0.57891999999999999</v>
      </c>
      <c r="G17">
        <v>10</v>
      </c>
      <c r="H17">
        <f t="shared" si="1"/>
        <v>82.225296</v>
      </c>
    </row>
    <row r="18" spans="1:8">
      <c r="A18" s="1" t="s">
        <v>35</v>
      </c>
      <c r="B18" s="1" t="s">
        <v>28</v>
      </c>
      <c r="C18" s="1" t="s">
        <v>26</v>
      </c>
      <c r="D18" s="5">
        <v>0.82689999999999997</v>
      </c>
      <c r="E18">
        <v>0.20327999999999999</v>
      </c>
      <c r="F18" s="5">
        <f t="shared" si="0"/>
        <v>0.62361999999999995</v>
      </c>
      <c r="G18">
        <v>10</v>
      </c>
      <c r="H18">
        <f t="shared" si="1"/>
        <v>88.541405999999995</v>
      </c>
    </row>
    <row r="19" spans="1:8">
      <c r="A19" s="1" t="s">
        <v>35</v>
      </c>
      <c r="B19" s="1" t="s">
        <v>28</v>
      </c>
      <c r="C19" s="1" t="s">
        <v>27</v>
      </c>
      <c r="D19" s="5">
        <v>0.45340000000000003</v>
      </c>
      <c r="E19">
        <v>0.20327999999999999</v>
      </c>
      <c r="F19" s="5">
        <f t="shared" si="0"/>
        <v>0.25012000000000001</v>
      </c>
      <c r="G19">
        <v>10</v>
      </c>
      <c r="H19">
        <f t="shared" si="1"/>
        <v>35.765856000000007</v>
      </c>
    </row>
    <row r="20" spans="1:8">
      <c r="A20" s="1" t="s">
        <v>35</v>
      </c>
      <c r="B20" s="1" t="s">
        <v>2</v>
      </c>
      <c r="C20" s="1" t="s">
        <v>5</v>
      </c>
      <c r="D20" s="5">
        <v>0.63417999999999997</v>
      </c>
      <c r="E20">
        <v>0.20327999999999999</v>
      </c>
      <c r="F20" s="5">
        <f t="shared" si="0"/>
        <v>0.43089999999999995</v>
      </c>
      <c r="G20">
        <v>10</v>
      </c>
      <c r="H20">
        <f t="shared" si="1"/>
        <v>61.310069999999996</v>
      </c>
    </row>
    <row r="21" spans="1:8">
      <c r="A21" s="1" t="s">
        <v>35</v>
      </c>
      <c r="B21" s="1" t="s">
        <v>2</v>
      </c>
      <c r="C21" s="1" t="s">
        <v>6</v>
      </c>
      <c r="D21" s="5">
        <v>0.63488</v>
      </c>
      <c r="E21">
        <v>0.20327999999999999</v>
      </c>
      <c r="F21" s="5">
        <f t="shared" si="0"/>
        <v>0.43159999999999998</v>
      </c>
      <c r="G21">
        <v>10</v>
      </c>
      <c r="H21">
        <f t="shared" si="1"/>
        <v>61.40898</v>
      </c>
    </row>
    <row r="22" spans="1:8">
      <c r="A22" s="1" t="s">
        <v>35</v>
      </c>
      <c r="B22" s="1" t="s">
        <v>2</v>
      </c>
      <c r="C22" s="1" t="s">
        <v>7</v>
      </c>
      <c r="D22" s="5">
        <v>0.73568</v>
      </c>
      <c r="E22">
        <v>0.20327999999999999</v>
      </c>
      <c r="F22" s="5">
        <f t="shared" si="0"/>
        <v>0.53239999999999998</v>
      </c>
      <c r="G22">
        <v>10</v>
      </c>
      <c r="H22">
        <f t="shared" si="1"/>
        <v>75.652019999999993</v>
      </c>
    </row>
    <row r="23" spans="1:8">
      <c r="A23" s="1" t="s">
        <v>35</v>
      </c>
      <c r="B23" s="1" t="s">
        <v>2</v>
      </c>
      <c r="C23" s="1" t="s">
        <v>9</v>
      </c>
      <c r="D23" s="5">
        <v>0.48318</v>
      </c>
      <c r="E23">
        <v>0.20327999999999999</v>
      </c>
      <c r="F23" s="5">
        <f t="shared" si="0"/>
        <v>0.27990000000000004</v>
      </c>
      <c r="G23">
        <v>10</v>
      </c>
      <c r="H23">
        <f t="shared" si="1"/>
        <v>39.973770000000009</v>
      </c>
    </row>
    <row r="24" spans="1:8">
      <c r="A24" s="1" t="s">
        <v>35</v>
      </c>
      <c r="B24" s="1" t="s">
        <v>2</v>
      </c>
      <c r="C24" s="1" t="s">
        <v>10</v>
      </c>
      <c r="D24" s="5">
        <v>0.57357999999999998</v>
      </c>
      <c r="E24">
        <v>0.20327999999999999</v>
      </c>
      <c r="F24" s="5">
        <f t="shared" si="0"/>
        <v>0.37029999999999996</v>
      </c>
      <c r="G24">
        <v>10</v>
      </c>
      <c r="H24">
        <f t="shared" si="1"/>
        <v>52.747289999999992</v>
      </c>
    </row>
    <row r="25" spans="1:8">
      <c r="A25" s="1" t="s">
        <v>35</v>
      </c>
      <c r="B25" s="1" t="s">
        <v>2</v>
      </c>
      <c r="C25" s="1" t="s">
        <v>11</v>
      </c>
      <c r="D25" s="5">
        <v>0.48148000000000002</v>
      </c>
      <c r="E25">
        <v>0.20327999999999999</v>
      </c>
      <c r="F25" s="5">
        <f t="shared" si="0"/>
        <v>0.2782</v>
      </c>
      <c r="G25">
        <v>10</v>
      </c>
      <c r="H25">
        <f t="shared" si="1"/>
        <v>39.733559999999997</v>
      </c>
    </row>
    <row r="26" spans="1:8">
      <c r="A26" s="1" t="s">
        <v>35</v>
      </c>
      <c r="B26" s="1" t="s">
        <v>2</v>
      </c>
      <c r="C26" s="1" t="s">
        <v>13</v>
      </c>
      <c r="D26" s="5">
        <v>0.46378000000000003</v>
      </c>
      <c r="E26">
        <v>0.20327999999999999</v>
      </c>
      <c r="F26" s="5">
        <f t="shared" si="0"/>
        <v>0.26050000000000006</v>
      </c>
      <c r="G26">
        <v>10</v>
      </c>
      <c r="H26">
        <f t="shared" si="1"/>
        <v>37.23255000000001</v>
      </c>
    </row>
    <row r="27" spans="1:8">
      <c r="A27" s="1" t="s">
        <v>35</v>
      </c>
      <c r="B27" s="1" t="s">
        <v>2</v>
      </c>
      <c r="C27" s="1" t="s">
        <v>14</v>
      </c>
      <c r="D27" s="5">
        <v>0.47488000000000002</v>
      </c>
      <c r="E27">
        <v>0.20327999999999999</v>
      </c>
      <c r="F27" s="5">
        <f t="shared" si="0"/>
        <v>0.27160000000000006</v>
      </c>
      <c r="G27">
        <v>10</v>
      </c>
      <c r="H27">
        <f t="shared" si="1"/>
        <v>38.80098000000001</v>
      </c>
    </row>
    <row r="28" spans="1:8">
      <c r="A28" s="1" t="s">
        <v>35</v>
      </c>
      <c r="B28" s="1" t="s">
        <v>2</v>
      </c>
      <c r="C28" s="1" t="s">
        <v>15</v>
      </c>
      <c r="D28" s="5">
        <v>0.41127999999999998</v>
      </c>
      <c r="E28">
        <v>0.20327999999999999</v>
      </c>
      <c r="F28" s="5">
        <f t="shared" si="0"/>
        <v>0.20799999999999999</v>
      </c>
      <c r="G28">
        <v>10</v>
      </c>
      <c r="H28">
        <f t="shared" si="1"/>
        <v>29.814300000000003</v>
      </c>
    </row>
    <row r="29" spans="1:8">
      <c r="A29" s="1" t="s">
        <v>35</v>
      </c>
      <c r="B29" s="1" t="s">
        <v>2</v>
      </c>
      <c r="C29" s="1" t="s">
        <v>17</v>
      </c>
      <c r="D29" s="5">
        <v>0.43137999999999999</v>
      </c>
      <c r="E29">
        <v>0.20327999999999999</v>
      </c>
      <c r="F29" s="5">
        <f t="shared" si="0"/>
        <v>0.2281</v>
      </c>
      <c r="G29">
        <v>10</v>
      </c>
      <c r="H29">
        <f t="shared" si="1"/>
        <v>32.654430000000005</v>
      </c>
    </row>
    <row r="30" spans="1:8">
      <c r="A30" s="1" t="s">
        <v>35</v>
      </c>
      <c r="B30" s="1" t="s">
        <v>2</v>
      </c>
      <c r="C30" s="1" t="s">
        <v>18</v>
      </c>
      <c r="D30" s="5">
        <v>0.59918000000000005</v>
      </c>
      <c r="E30">
        <v>0.20327999999999999</v>
      </c>
      <c r="F30" s="5">
        <f t="shared" si="0"/>
        <v>0.39590000000000003</v>
      </c>
      <c r="G30">
        <v>10</v>
      </c>
      <c r="H30">
        <f t="shared" si="1"/>
        <v>56.364570000000015</v>
      </c>
    </row>
    <row r="31" spans="1:8">
      <c r="A31" s="1" t="s">
        <v>35</v>
      </c>
      <c r="B31" s="1" t="s">
        <v>2</v>
      </c>
      <c r="C31" s="1" t="s">
        <v>19</v>
      </c>
      <c r="D31" s="5">
        <v>0.52058000000000004</v>
      </c>
      <c r="E31">
        <v>0.20327999999999999</v>
      </c>
      <c r="F31" s="5">
        <f t="shared" si="0"/>
        <v>0.31730000000000003</v>
      </c>
      <c r="G31">
        <v>10</v>
      </c>
      <c r="H31">
        <f t="shared" si="1"/>
        <v>45.258390000000006</v>
      </c>
    </row>
    <row r="32" spans="1:8">
      <c r="A32" s="1" t="s">
        <v>35</v>
      </c>
      <c r="B32" s="1" t="s">
        <v>2</v>
      </c>
      <c r="C32" s="1" t="s">
        <v>21</v>
      </c>
      <c r="D32" s="5">
        <v>0.77898000000000001</v>
      </c>
      <c r="E32">
        <v>0.20327999999999999</v>
      </c>
      <c r="F32" s="5">
        <f t="shared" si="0"/>
        <v>0.57569999999999999</v>
      </c>
      <c r="G32">
        <v>10</v>
      </c>
      <c r="H32">
        <f t="shared" si="1"/>
        <v>81.770309999999995</v>
      </c>
    </row>
    <row r="33" spans="1:8">
      <c r="A33" s="1" t="s">
        <v>35</v>
      </c>
      <c r="B33" s="1" t="s">
        <v>2</v>
      </c>
      <c r="C33" s="1" t="s">
        <v>22</v>
      </c>
      <c r="D33" s="5">
        <v>0.46657999999999999</v>
      </c>
      <c r="E33">
        <v>0.20327999999999999</v>
      </c>
      <c r="F33" s="5">
        <f t="shared" si="0"/>
        <v>0.26329999999999998</v>
      </c>
      <c r="G33">
        <v>10</v>
      </c>
      <c r="H33">
        <f t="shared" si="1"/>
        <v>37.628189999999996</v>
      </c>
    </row>
    <row r="34" spans="1:8">
      <c r="A34" s="1" t="s">
        <v>35</v>
      </c>
      <c r="B34" s="1" t="s">
        <v>2</v>
      </c>
      <c r="C34" s="1" t="s">
        <v>23</v>
      </c>
      <c r="D34" s="5">
        <v>0.58367999999999998</v>
      </c>
      <c r="E34">
        <v>0.20327999999999999</v>
      </c>
      <c r="F34" s="5">
        <f t="shared" si="0"/>
        <v>0.38039999999999996</v>
      </c>
      <c r="G34">
        <v>10</v>
      </c>
      <c r="H34">
        <f t="shared" si="1"/>
        <v>54.174419999999998</v>
      </c>
    </row>
    <row r="35" spans="1:8">
      <c r="A35" s="1" t="s">
        <v>35</v>
      </c>
      <c r="B35" s="1" t="s">
        <v>2</v>
      </c>
      <c r="C35" s="1" t="s">
        <v>25</v>
      </c>
      <c r="D35" s="5">
        <v>0.48377999999999999</v>
      </c>
      <c r="E35">
        <v>0.20327999999999999</v>
      </c>
      <c r="F35" s="5">
        <f t="shared" si="0"/>
        <v>0.28049999999999997</v>
      </c>
      <c r="G35">
        <v>10</v>
      </c>
      <c r="H35">
        <f t="shared" si="1"/>
        <v>40.058549999999997</v>
      </c>
    </row>
    <row r="36" spans="1:8">
      <c r="A36" s="1" t="s">
        <v>35</v>
      </c>
      <c r="B36" s="1" t="s">
        <v>2</v>
      </c>
      <c r="C36" s="1" t="s">
        <v>26</v>
      </c>
      <c r="D36" s="5">
        <v>0.47767999999999999</v>
      </c>
      <c r="E36">
        <v>0.20327999999999999</v>
      </c>
      <c r="F36" s="5">
        <f t="shared" si="0"/>
        <v>0.27439999999999998</v>
      </c>
      <c r="G36">
        <v>10</v>
      </c>
      <c r="H36">
        <f t="shared" si="1"/>
        <v>39.196620000000003</v>
      </c>
    </row>
    <row r="37" spans="1:8">
      <c r="A37" s="1" t="s">
        <v>35</v>
      </c>
      <c r="B37" s="1" t="s">
        <v>2</v>
      </c>
      <c r="C37" s="1" t="s">
        <v>27</v>
      </c>
      <c r="D37" s="5">
        <v>0.69908000000000003</v>
      </c>
      <c r="E37">
        <v>0.20327999999999999</v>
      </c>
      <c r="F37" s="5">
        <f t="shared" si="0"/>
        <v>0.49580000000000002</v>
      </c>
      <c r="G37">
        <v>10</v>
      </c>
      <c r="H37">
        <f t="shared" si="1"/>
        <v>70.480440000000002</v>
      </c>
    </row>
    <row r="38" spans="1:8">
      <c r="A38" s="1" t="s">
        <v>35</v>
      </c>
      <c r="B38" s="1" t="s">
        <v>29</v>
      </c>
      <c r="C38" s="1" t="s">
        <v>5</v>
      </c>
      <c r="D38" s="5">
        <v>0.64071666666666705</v>
      </c>
      <c r="E38">
        <v>0.20327999999999999</v>
      </c>
      <c r="F38" s="5">
        <f t="shared" si="0"/>
        <v>0.43743666666666703</v>
      </c>
      <c r="G38">
        <v>10</v>
      </c>
      <c r="H38">
        <f t="shared" si="1"/>
        <v>62.233701000000053</v>
      </c>
    </row>
    <row r="39" spans="1:8">
      <c r="A39" s="1" t="s">
        <v>35</v>
      </c>
      <c r="B39" s="1" t="s">
        <v>29</v>
      </c>
      <c r="C39" s="1" t="s">
        <v>6</v>
      </c>
      <c r="D39" s="5">
        <v>0.51401666666666701</v>
      </c>
      <c r="E39">
        <v>0.20327999999999999</v>
      </c>
      <c r="F39" s="5">
        <f t="shared" si="0"/>
        <v>0.31073666666666699</v>
      </c>
      <c r="G39">
        <v>10</v>
      </c>
      <c r="H39">
        <f t="shared" si="1"/>
        <v>44.330991000000047</v>
      </c>
    </row>
    <row r="40" spans="1:8">
      <c r="A40" s="1" t="s">
        <v>35</v>
      </c>
      <c r="B40" s="1" t="s">
        <v>29</v>
      </c>
      <c r="C40" s="1" t="s">
        <v>7</v>
      </c>
      <c r="D40" s="5">
        <v>0.77241666666666697</v>
      </c>
      <c r="E40">
        <v>0.20327999999999999</v>
      </c>
      <c r="F40" s="5">
        <f t="shared" si="0"/>
        <v>0.56913666666666696</v>
      </c>
      <c r="G40">
        <v>10</v>
      </c>
      <c r="H40">
        <f t="shared" si="1"/>
        <v>80.842911000000043</v>
      </c>
    </row>
    <row r="41" spans="1:8">
      <c r="A41" s="1" t="s">
        <v>35</v>
      </c>
      <c r="B41" s="1" t="s">
        <v>29</v>
      </c>
      <c r="C41" s="1" t="s">
        <v>9</v>
      </c>
      <c r="D41" s="5">
        <v>0.70771666666666699</v>
      </c>
      <c r="E41">
        <v>0.20327999999999999</v>
      </c>
      <c r="F41" s="5">
        <f t="shared" si="0"/>
        <v>0.50443666666666698</v>
      </c>
      <c r="G41">
        <v>10</v>
      </c>
      <c r="H41">
        <f t="shared" si="1"/>
        <v>71.700801000000041</v>
      </c>
    </row>
    <row r="42" spans="1:8">
      <c r="A42" s="1" t="s">
        <v>35</v>
      </c>
      <c r="B42" s="1" t="s">
        <v>29</v>
      </c>
      <c r="C42" s="1" t="s">
        <v>10</v>
      </c>
      <c r="D42" s="5">
        <v>0.79211666666666702</v>
      </c>
      <c r="E42">
        <v>0.20327999999999999</v>
      </c>
      <c r="F42" s="5">
        <f t="shared" si="0"/>
        <v>0.58883666666666701</v>
      </c>
      <c r="G42">
        <v>10</v>
      </c>
      <c r="H42">
        <f t="shared" si="1"/>
        <v>83.626521000000054</v>
      </c>
    </row>
    <row r="43" spans="1:8">
      <c r="A43" s="1" t="s">
        <v>35</v>
      </c>
      <c r="B43" s="1" t="s">
        <v>29</v>
      </c>
      <c r="C43" s="1" t="s">
        <v>11</v>
      </c>
      <c r="D43" s="5">
        <v>0.78871666666666695</v>
      </c>
      <c r="E43">
        <v>0.20327999999999999</v>
      </c>
      <c r="F43" s="5">
        <f t="shared" si="0"/>
        <v>0.58543666666666694</v>
      </c>
      <c r="G43">
        <v>10</v>
      </c>
      <c r="H43">
        <f t="shared" si="1"/>
        <v>83.146101000000044</v>
      </c>
    </row>
    <row r="44" spans="1:8">
      <c r="A44" s="1" t="s">
        <v>35</v>
      </c>
      <c r="B44" s="1" t="s">
        <v>29</v>
      </c>
      <c r="C44" s="1" t="s">
        <v>13</v>
      </c>
      <c r="D44" s="5">
        <v>0.72551666666666703</v>
      </c>
      <c r="E44">
        <v>0.20327999999999999</v>
      </c>
      <c r="F44" s="5">
        <f t="shared" si="0"/>
        <v>0.52223666666666702</v>
      </c>
      <c r="G44">
        <v>10</v>
      </c>
      <c r="H44">
        <f t="shared" si="1"/>
        <v>74.215941000000043</v>
      </c>
    </row>
    <row r="45" spans="1:8">
      <c r="A45" s="1" t="s">
        <v>35</v>
      </c>
      <c r="B45" s="1" t="s">
        <v>29</v>
      </c>
      <c r="C45" s="1" t="s">
        <v>14</v>
      </c>
      <c r="D45" s="5">
        <v>0.90971666666666695</v>
      </c>
      <c r="E45">
        <v>0.20327999999999999</v>
      </c>
      <c r="F45" s="5">
        <f t="shared" si="0"/>
        <v>0.70643666666666693</v>
      </c>
      <c r="G45">
        <v>10</v>
      </c>
      <c r="H45">
        <f t="shared" si="1"/>
        <v>100.24340100000003</v>
      </c>
    </row>
    <row r="46" spans="1:8">
      <c r="A46" s="1" t="s">
        <v>35</v>
      </c>
      <c r="B46" s="1" t="s">
        <v>29</v>
      </c>
      <c r="C46" s="1" t="s">
        <v>15</v>
      </c>
      <c r="D46" s="5">
        <v>0.81131666666666702</v>
      </c>
      <c r="E46">
        <v>0.20327999999999999</v>
      </c>
      <c r="F46" s="5">
        <f t="shared" si="0"/>
        <v>0.608036666666667</v>
      </c>
      <c r="G46">
        <v>10</v>
      </c>
      <c r="H46">
        <f t="shared" si="1"/>
        <v>86.339481000000049</v>
      </c>
    </row>
    <row r="47" spans="1:8">
      <c r="A47" s="1" t="s">
        <v>35</v>
      </c>
      <c r="B47" s="1" t="s">
        <v>29</v>
      </c>
      <c r="C47" s="1" t="s">
        <v>17</v>
      </c>
      <c r="D47" s="5">
        <v>0.48621666666666702</v>
      </c>
      <c r="E47">
        <v>0.20327999999999999</v>
      </c>
      <c r="F47" s="5">
        <f t="shared" si="0"/>
        <v>0.28293666666666706</v>
      </c>
      <c r="G47">
        <v>10</v>
      </c>
      <c r="H47">
        <f t="shared" si="1"/>
        <v>40.402851000000062</v>
      </c>
    </row>
    <row r="48" spans="1:8">
      <c r="A48" s="1" t="s">
        <v>35</v>
      </c>
      <c r="B48" s="1" t="s">
        <v>29</v>
      </c>
      <c r="C48" s="1" t="s">
        <v>18</v>
      </c>
      <c r="D48" s="5">
        <v>0.51621666666666699</v>
      </c>
      <c r="E48">
        <v>0.20327999999999999</v>
      </c>
      <c r="F48" s="5">
        <f t="shared" si="0"/>
        <v>0.31293666666666697</v>
      </c>
      <c r="G48">
        <v>10</v>
      </c>
      <c r="H48">
        <f t="shared" si="1"/>
        <v>44.641851000000045</v>
      </c>
    </row>
    <row r="49" spans="1:8">
      <c r="A49" s="1" t="s">
        <v>35</v>
      </c>
      <c r="B49" s="1" t="s">
        <v>29</v>
      </c>
      <c r="C49" s="1" t="s">
        <v>19</v>
      </c>
      <c r="D49" s="5">
        <v>0.50841666666666696</v>
      </c>
      <c r="E49">
        <v>0.20327999999999999</v>
      </c>
      <c r="F49" s="5">
        <f t="shared" si="0"/>
        <v>0.30513666666666694</v>
      </c>
      <c r="G49">
        <v>10</v>
      </c>
      <c r="H49">
        <f t="shared" si="1"/>
        <v>43.53971100000004</v>
      </c>
    </row>
    <row r="50" spans="1:8">
      <c r="A50" s="1" t="s">
        <v>35</v>
      </c>
      <c r="B50" s="1" t="s">
        <v>29</v>
      </c>
      <c r="C50" s="1" t="s">
        <v>21</v>
      </c>
      <c r="D50" s="5">
        <v>0.60831666666666695</v>
      </c>
      <c r="E50">
        <v>0.20327999999999999</v>
      </c>
      <c r="F50" s="5">
        <f t="shared" si="0"/>
        <v>0.40503666666666693</v>
      </c>
      <c r="G50">
        <v>10</v>
      </c>
      <c r="H50">
        <f t="shared" si="1"/>
        <v>57.655581000000033</v>
      </c>
    </row>
    <row r="51" spans="1:8">
      <c r="A51" s="1" t="s">
        <v>35</v>
      </c>
      <c r="B51" s="1" t="s">
        <v>29</v>
      </c>
      <c r="C51" s="1" t="s">
        <v>22</v>
      </c>
      <c r="D51" s="5">
        <v>0.55221666666666702</v>
      </c>
      <c r="E51">
        <v>0.20327999999999999</v>
      </c>
      <c r="F51" s="5">
        <f t="shared" si="0"/>
        <v>0.34893666666666701</v>
      </c>
      <c r="G51">
        <v>10</v>
      </c>
      <c r="H51">
        <f t="shared" si="1"/>
        <v>49.728651000000056</v>
      </c>
    </row>
    <row r="52" spans="1:8">
      <c r="A52" s="1" t="s">
        <v>35</v>
      </c>
      <c r="B52" s="1" t="s">
        <v>29</v>
      </c>
      <c r="C52" s="1" t="s">
        <v>23</v>
      </c>
      <c r="D52" s="5">
        <v>0.95331666666666703</v>
      </c>
      <c r="E52">
        <v>0.20327999999999999</v>
      </c>
      <c r="F52" s="5">
        <f t="shared" si="0"/>
        <v>0.75003666666666702</v>
      </c>
      <c r="G52">
        <v>10</v>
      </c>
      <c r="H52">
        <f t="shared" si="1"/>
        <v>106.40408100000005</v>
      </c>
    </row>
    <row r="53" spans="1:8">
      <c r="A53" s="1" t="s">
        <v>35</v>
      </c>
      <c r="B53" s="1" t="s">
        <v>29</v>
      </c>
      <c r="C53" s="1" t="s">
        <v>25</v>
      </c>
      <c r="D53" s="5">
        <v>0.68631666666666702</v>
      </c>
      <c r="E53">
        <v>0.20327999999999999</v>
      </c>
      <c r="F53" s="5">
        <f t="shared" si="0"/>
        <v>0.483036666666667</v>
      </c>
      <c r="G53">
        <v>10</v>
      </c>
      <c r="H53">
        <f t="shared" si="1"/>
        <v>68.676981000000055</v>
      </c>
    </row>
    <row r="54" spans="1:8">
      <c r="A54" s="1" t="s">
        <v>35</v>
      </c>
      <c r="B54" s="1" t="s">
        <v>29</v>
      </c>
      <c r="C54" s="1" t="s">
        <v>26</v>
      </c>
      <c r="D54" s="5">
        <v>0.80991666666666695</v>
      </c>
      <c r="E54">
        <v>0.20327999999999999</v>
      </c>
      <c r="F54" s="5">
        <f t="shared" si="0"/>
        <v>0.60663666666666693</v>
      </c>
      <c r="G54">
        <v>10</v>
      </c>
      <c r="H54">
        <f t="shared" si="1"/>
        <v>86.141661000000042</v>
      </c>
    </row>
    <row r="55" spans="1:8">
      <c r="A55" s="1" t="s">
        <v>35</v>
      </c>
      <c r="B55" s="1" t="s">
        <v>29</v>
      </c>
      <c r="C55" s="1" t="s">
        <v>27</v>
      </c>
      <c r="D55" s="5">
        <v>0.80921666666666703</v>
      </c>
      <c r="E55">
        <v>0.20327999999999999</v>
      </c>
      <c r="F55" s="5">
        <f t="shared" si="0"/>
        <v>0.60593666666666701</v>
      </c>
      <c r="G55">
        <v>10</v>
      </c>
      <c r="H55">
        <f t="shared" si="1"/>
        <v>86.042751000000052</v>
      </c>
    </row>
    <row r="56" spans="1:8">
      <c r="A56" s="1" t="s">
        <v>35</v>
      </c>
      <c r="B56" s="1" t="s">
        <v>30</v>
      </c>
      <c r="C56" s="1" t="s">
        <v>5</v>
      </c>
      <c r="D56" s="5">
        <v>0.77458333333333296</v>
      </c>
      <c r="E56">
        <v>0.20327999999999999</v>
      </c>
      <c r="F56" s="5">
        <f t="shared" si="0"/>
        <v>0.57130333333333294</v>
      </c>
      <c r="G56">
        <v>10</v>
      </c>
      <c r="H56">
        <f t="shared" si="1"/>
        <v>81.149060999999961</v>
      </c>
    </row>
    <row r="57" spans="1:8">
      <c r="A57" s="1" t="s">
        <v>35</v>
      </c>
      <c r="B57" s="1" t="s">
        <v>30</v>
      </c>
      <c r="C57" s="1" t="s">
        <v>6</v>
      </c>
      <c r="D57" s="5">
        <v>0.80368333333333297</v>
      </c>
      <c r="E57">
        <v>0.20327999999999999</v>
      </c>
      <c r="F57" s="5">
        <f t="shared" si="0"/>
        <v>0.60040333333333296</v>
      </c>
      <c r="G57">
        <v>10</v>
      </c>
      <c r="H57">
        <f t="shared" si="1"/>
        <v>85.260890999999944</v>
      </c>
    </row>
    <row r="58" spans="1:8">
      <c r="A58" s="1" t="s">
        <v>35</v>
      </c>
      <c r="B58" s="1" t="s">
        <v>30</v>
      </c>
      <c r="C58" s="1" t="s">
        <v>7</v>
      </c>
      <c r="D58" s="5">
        <v>0.86778333333333302</v>
      </c>
      <c r="E58">
        <v>0.20327999999999999</v>
      </c>
      <c r="F58" s="5">
        <f t="shared" si="0"/>
        <v>0.664503333333333</v>
      </c>
      <c r="G58">
        <v>10</v>
      </c>
      <c r="H58">
        <f t="shared" si="1"/>
        <v>94.318220999999966</v>
      </c>
    </row>
    <row r="59" spans="1:8">
      <c r="A59" s="1" t="s">
        <v>35</v>
      </c>
      <c r="B59" s="1" t="s">
        <v>30</v>
      </c>
      <c r="C59" s="1" t="s">
        <v>9</v>
      </c>
      <c r="D59" s="5">
        <v>0.58588333333333298</v>
      </c>
      <c r="E59">
        <v>0.20327999999999999</v>
      </c>
      <c r="F59" s="5">
        <f t="shared" si="0"/>
        <v>0.38260333333333296</v>
      </c>
      <c r="G59">
        <v>10</v>
      </c>
      <c r="H59">
        <f t="shared" si="1"/>
        <v>54.485750999999951</v>
      </c>
    </row>
    <row r="60" spans="1:8">
      <c r="A60" s="1" t="s">
        <v>35</v>
      </c>
      <c r="B60" s="1" t="s">
        <v>30</v>
      </c>
      <c r="C60" s="1" t="s">
        <v>10</v>
      </c>
      <c r="D60" s="5">
        <v>0.57778333333333298</v>
      </c>
      <c r="E60">
        <v>0.20327999999999999</v>
      </c>
      <c r="F60" s="5">
        <f t="shared" si="0"/>
        <v>0.37450333333333297</v>
      </c>
      <c r="G60">
        <v>10</v>
      </c>
      <c r="H60">
        <f t="shared" si="1"/>
        <v>53.341220999999948</v>
      </c>
    </row>
    <row r="61" spans="1:8">
      <c r="A61" s="1" t="s">
        <v>35</v>
      </c>
      <c r="B61" s="1" t="s">
        <v>30</v>
      </c>
      <c r="C61" s="1" t="s">
        <v>11</v>
      </c>
      <c r="D61" s="5">
        <v>0.81798333333333295</v>
      </c>
      <c r="E61">
        <v>0.20327999999999999</v>
      </c>
      <c r="F61" s="5">
        <f t="shared" si="0"/>
        <v>0.61470333333333294</v>
      </c>
      <c r="G61">
        <v>10</v>
      </c>
      <c r="H61">
        <f t="shared" si="1"/>
        <v>87.281480999999943</v>
      </c>
    </row>
    <row r="62" spans="1:8">
      <c r="A62" s="1" t="s">
        <v>35</v>
      </c>
      <c r="B62" s="1" t="s">
        <v>30</v>
      </c>
      <c r="C62" s="1" t="s">
        <v>13</v>
      </c>
      <c r="D62" s="5">
        <v>0.51398333333333301</v>
      </c>
      <c r="E62">
        <v>0.20327999999999999</v>
      </c>
      <c r="F62" s="5">
        <f t="shared" si="0"/>
        <v>0.310703333333333</v>
      </c>
      <c r="G62">
        <v>10</v>
      </c>
      <c r="H62">
        <f t="shared" si="1"/>
        <v>44.326280999999952</v>
      </c>
    </row>
    <row r="63" spans="1:8">
      <c r="A63" s="1" t="s">
        <v>35</v>
      </c>
      <c r="B63" s="1" t="s">
        <v>30</v>
      </c>
      <c r="C63" s="1" t="s">
        <v>14</v>
      </c>
      <c r="D63" s="5">
        <v>0.66508333333333303</v>
      </c>
      <c r="E63">
        <v>0.20327999999999999</v>
      </c>
      <c r="F63" s="5">
        <f t="shared" si="0"/>
        <v>0.46180333333333301</v>
      </c>
      <c r="G63">
        <v>10</v>
      </c>
      <c r="H63">
        <f t="shared" si="1"/>
        <v>65.676710999999955</v>
      </c>
    </row>
    <row r="64" spans="1:8">
      <c r="A64" s="1" t="s">
        <v>35</v>
      </c>
      <c r="B64" s="1" t="s">
        <v>30</v>
      </c>
      <c r="C64" s="1" t="s">
        <v>15</v>
      </c>
      <c r="D64" s="5">
        <v>0.59218333333333295</v>
      </c>
      <c r="E64">
        <v>0.20327999999999999</v>
      </c>
      <c r="F64" s="5">
        <f t="shared" si="0"/>
        <v>0.38890333333333293</v>
      </c>
      <c r="G64">
        <v>10</v>
      </c>
      <c r="H64">
        <f t="shared" si="1"/>
        <v>55.375940999999948</v>
      </c>
    </row>
    <row r="65" spans="1:8">
      <c r="A65" s="1" t="s">
        <v>35</v>
      </c>
      <c r="B65" s="1" t="s">
        <v>30</v>
      </c>
      <c r="C65" s="1" t="s">
        <v>17</v>
      </c>
      <c r="D65" s="5">
        <v>0.76928333333333299</v>
      </c>
      <c r="E65">
        <v>0.20327999999999999</v>
      </c>
      <c r="F65" s="5">
        <f t="shared" si="0"/>
        <v>0.56600333333333297</v>
      </c>
      <c r="G65">
        <v>10</v>
      </c>
      <c r="H65">
        <f t="shared" si="1"/>
        <v>80.400170999999958</v>
      </c>
    </row>
    <row r="66" spans="1:8">
      <c r="A66" s="1" t="s">
        <v>35</v>
      </c>
      <c r="B66" s="1" t="s">
        <v>30</v>
      </c>
      <c r="C66" s="1" t="s">
        <v>18</v>
      </c>
      <c r="D66" s="5">
        <v>0.913283333333333</v>
      </c>
      <c r="E66">
        <v>0.20327999999999999</v>
      </c>
      <c r="F66" s="5">
        <f t="shared" si="0"/>
        <v>0.71000333333333299</v>
      </c>
      <c r="G66">
        <v>10</v>
      </c>
      <c r="H66">
        <f t="shared" si="1"/>
        <v>100.74737099999994</v>
      </c>
    </row>
    <row r="67" spans="1:8">
      <c r="A67" s="1" t="s">
        <v>35</v>
      </c>
      <c r="B67" s="1" t="s">
        <v>30</v>
      </c>
      <c r="C67" s="1" t="s">
        <v>19</v>
      </c>
      <c r="D67" s="5">
        <v>0.63848333333333296</v>
      </c>
      <c r="E67">
        <v>0.20327999999999999</v>
      </c>
      <c r="F67" s="5">
        <f t="shared" ref="F67:F130" si="2">D67-E67</f>
        <v>0.43520333333333294</v>
      </c>
      <c r="G67">
        <v>10</v>
      </c>
      <c r="H67">
        <f t="shared" ref="H67:H130" si="3">0.1413*(F67+0.003)*G67/0.01</f>
        <v>61.918130999999939</v>
      </c>
    </row>
    <row r="68" spans="1:8">
      <c r="A68" s="1" t="s">
        <v>35</v>
      </c>
      <c r="B68" s="1" t="s">
        <v>30</v>
      </c>
      <c r="C68" s="1" t="s">
        <v>21</v>
      </c>
      <c r="D68" s="5">
        <v>0.56278333333333297</v>
      </c>
      <c r="E68">
        <v>0.20327999999999999</v>
      </c>
      <c r="F68" s="5">
        <f t="shared" si="2"/>
        <v>0.35950333333333295</v>
      </c>
      <c r="G68">
        <v>10</v>
      </c>
      <c r="H68">
        <f t="shared" si="3"/>
        <v>51.221720999999953</v>
      </c>
    </row>
    <row r="69" spans="1:8">
      <c r="A69" s="1" t="s">
        <v>35</v>
      </c>
      <c r="B69" s="1" t="s">
        <v>30</v>
      </c>
      <c r="C69" s="1" t="s">
        <v>22</v>
      </c>
      <c r="D69" s="5">
        <v>0.65638333333333299</v>
      </c>
      <c r="E69">
        <v>0.20327999999999999</v>
      </c>
      <c r="F69" s="5">
        <f t="shared" si="2"/>
        <v>0.45310333333333297</v>
      </c>
      <c r="G69">
        <v>10</v>
      </c>
      <c r="H69">
        <f t="shared" si="3"/>
        <v>64.447400999999957</v>
      </c>
    </row>
    <row r="70" spans="1:8">
      <c r="A70" s="1" t="s">
        <v>35</v>
      </c>
      <c r="B70" s="1" t="s">
        <v>30</v>
      </c>
      <c r="C70" s="1" t="s">
        <v>23</v>
      </c>
      <c r="D70" s="5">
        <v>0.80818333333333303</v>
      </c>
      <c r="E70">
        <v>0.20327999999999999</v>
      </c>
      <c r="F70" s="5">
        <f t="shared" si="2"/>
        <v>0.60490333333333302</v>
      </c>
      <c r="G70">
        <v>10</v>
      </c>
      <c r="H70">
        <f t="shared" si="3"/>
        <v>85.896740999999949</v>
      </c>
    </row>
    <row r="71" spans="1:8">
      <c r="A71" s="1" t="s">
        <v>35</v>
      </c>
      <c r="B71" s="1" t="s">
        <v>30</v>
      </c>
      <c r="C71" s="1" t="s">
        <v>25</v>
      </c>
      <c r="D71" s="5">
        <v>0.48018333333333302</v>
      </c>
      <c r="E71">
        <v>0.20327999999999999</v>
      </c>
      <c r="F71" s="5">
        <f t="shared" si="2"/>
        <v>0.27690333333333306</v>
      </c>
      <c r="G71">
        <v>10</v>
      </c>
      <c r="H71">
        <f t="shared" si="3"/>
        <v>39.55034099999996</v>
      </c>
    </row>
    <row r="72" spans="1:8">
      <c r="A72" s="1" t="s">
        <v>35</v>
      </c>
      <c r="B72" s="1" t="s">
        <v>30</v>
      </c>
      <c r="C72" s="1" t="s">
        <v>26</v>
      </c>
      <c r="D72" s="5">
        <v>0.80928333333333302</v>
      </c>
      <c r="E72">
        <v>0.20327999999999999</v>
      </c>
      <c r="F72" s="5">
        <f t="shared" si="2"/>
        <v>0.60600333333333301</v>
      </c>
      <c r="G72">
        <v>10</v>
      </c>
      <c r="H72">
        <f t="shared" si="3"/>
        <v>86.052170999999959</v>
      </c>
    </row>
    <row r="73" spans="1:8">
      <c r="A73" s="1" t="s">
        <v>35</v>
      </c>
      <c r="B73" s="1" t="s">
        <v>30</v>
      </c>
      <c r="C73" s="1" t="s">
        <v>27</v>
      </c>
      <c r="D73" s="5">
        <v>0.54428333333333301</v>
      </c>
      <c r="E73">
        <v>0.20327999999999999</v>
      </c>
      <c r="F73" s="5">
        <f t="shared" si="2"/>
        <v>0.34100333333333299</v>
      </c>
      <c r="G73">
        <v>10</v>
      </c>
      <c r="H73">
        <f t="shared" si="3"/>
        <v>48.607670999999954</v>
      </c>
    </row>
    <row r="74" spans="1:8">
      <c r="A74" s="1" t="s">
        <v>35</v>
      </c>
      <c r="B74" s="1" t="s">
        <v>31</v>
      </c>
      <c r="C74" s="1" t="s">
        <v>5</v>
      </c>
      <c r="D74" s="5">
        <v>0.74846666666666695</v>
      </c>
      <c r="E74">
        <v>0.20327999999999999</v>
      </c>
      <c r="F74" s="5">
        <f t="shared" si="2"/>
        <v>0.54518666666666693</v>
      </c>
      <c r="G74">
        <v>10</v>
      </c>
      <c r="H74">
        <f t="shared" si="3"/>
        <v>77.458776000000043</v>
      </c>
    </row>
    <row r="75" spans="1:8">
      <c r="A75" s="1" t="s">
        <v>35</v>
      </c>
      <c r="B75" s="1" t="s">
        <v>31</v>
      </c>
      <c r="C75" s="1" t="s">
        <v>6</v>
      </c>
      <c r="D75" s="5">
        <v>0.93986666666666696</v>
      </c>
      <c r="E75">
        <v>0.20327999999999999</v>
      </c>
      <c r="F75" s="5">
        <f t="shared" si="2"/>
        <v>0.73658666666666694</v>
      </c>
      <c r="G75">
        <v>10</v>
      </c>
      <c r="H75">
        <f t="shared" si="3"/>
        <v>104.50359600000006</v>
      </c>
    </row>
    <row r="76" spans="1:8">
      <c r="A76" s="1" t="s">
        <v>35</v>
      </c>
      <c r="B76" s="1" t="s">
        <v>31</v>
      </c>
      <c r="C76" s="1" t="s">
        <v>7</v>
      </c>
      <c r="D76" s="5">
        <v>0.69896666666666696</v>
      </c>
      <c r="E76">
        <v>0.20327999999999999</v>
      </c>
      <c r="F76" s="5">
        <f t="shared" si="2"/>
        <v>0.49568666666666694</v>
      </c>
      <c r="G76">
        <v>10</v>
      </c>
      <c r="H76">
        <f t="shared" si="3"/>
        <v>70.464426000000032</v>
      </c>
    </row>
    <row r="77" spans="1:8">
      <c r="A77" s="1" t="s">
        <v>35</v>
      </c>
      <c r="B77" s="1" t="s">
        <v>31</v>
      </c>
      <c r="C77" s="1" t="s">
        <v>9</v>
      </c>
      <c r="D77" s="5">
        <v>0.42546666666666699</v>
      </c>
      <c r="E77">
        <v>0.20327999999999999</v>
      </c>
      <c r="F77" s="5">
        <f t="shared" si="2"/>
        <v>0.222186666666667</v>
      </c>
      <c r="G77">
        <v>10</v>
      </c>
      <c r="H77">
        <f t="shared" si="3"/>
        <v>31.818876000000049</v>
      </c>
    </row>
    <row r="78" spans="1:8">
      <c r="A78" s="1" t="s">
        <v>35</v>
      </c>
      <c r="B78" s="1" t="s">
        <v>31</v>
      </c>
      <c r="C78" s="1" t="s">
        <v>10</v>
      </c>
      <c r="D78" s="5">
        <v>0.66206666666666703</v>
      </c>
      <c r="E78">
        <v>0.20327999999999999</v>
      </c>
      <c r="F78" s="5">
        <f t="shared" si="2"/>
        <v>0.45878666666666701</v>
      </c>
      <c r="G78">
        <v>10</v>
      </c>
      <c r="H78">
        <f t="shared" si="3"/>
        <v>65.250456000000057</v>
      </c>
    </row>
    <row r="79" spans="1:8">
      <c r="A79" s="1" t="s">
        <v>35</v>
      </c>
      <c r="B79" s="1" t="s">
        <v>31</v>
      </c>
      <c r="C79" s="1" t="s">
        <v>11</v>
      </c>
      <c r="D79" s="5">
        <v>0.54446666666666699</v>
      </c>
      <c r="E79">
        <v>0.20327999999999999</v>
      </c>
      <c r="F79" s="5">
        <f t="shared" si="2"/>
        <v>0.34118666666666697</v>
      </c>
      <c r="G79">
        <v>10</v>
      </c>
      <c r="H79">
        <f t="shared" si="3"/>
        <v>48.633576000000041</v>
      </c>
    </row>
    <row r="80" spans="1:8">
      <c r="A80" s="1" t="s">
        <v>35</v>
      </c>
      <c r="B80" s="1" t="s">
        <v>31</v>
      </c>
      <c r="C80" s="1" t="s">
        <v>13</v>
      </c>
      <c r="D80" s="5">
        <v>0.55826666666666702</v>
      </c>
      <c r="E80">
        <v>0.20327999999999999</v>
      </c>
      <c r="F80" s="5">
        <f t="shared" si="2"/>
        <v>0.35498666666666701</v>
      </c>
      <c r="G80">
        <v>10</v>
      </c>
      <c r="H80">
        <f t="shared" si="3"/>
        <v>50.583516000000053</v>
      </c>
    </row>
    <row r="81" spans="1:8">
      <c r="A81" s="1" t="s">
        <v>35</v>
      </c>
      <c r="B81" s="1" t="s">
        <v>31</v>
      </c>
      <c r="C81" s="1" t="s">
        <v>14</v>
      </c>
      <c r="D81" s="5">
        <v>0.74256666666666704</v>
      </c>
      <c r="E81">
        <v>0.20327999999999999</v>
      </c>
      <c r="F81" s="5">
        <f t="shared" si="2"/>
        <v>0.53928666666666703</v>
      </c>
      <c r="G81">
        <v>10</v>
      </c>
      <c r="H81">
        <f t="shared" si="3"/>
        <v>76.625106000000059</v>
      </c>
    </row>
    <row r="82" spans="1:8">
      <c r="A82" s="1" t="s">
        <v>35</v>
      </c>
      <c r="B82" s="1" t="s">
        <v>31</v>
      </c>
      <c r="C82" s="1" t="s">
        <v>15</v>
      </c>
      <c r="D82" s="5">
        <v>0.81586666666666696</v>
      </c>
      <c r="E82">
        <v>0.20327999999999999</v>
      </c>
      <c r="F82" s="5">
        <f t="shared" si="2"/>
        <v>0.61258666666666695</v>
      </c>
      <c r="G82">
        <v>10</v>
      </c>
      <c r="H82">
        <f t="shared" si="3"/>
        <v>86.982396000000037</v>
      </c>
    </row>
    <row r="83" spans="1:8">
      <c r="A83" s="1" t="s">
        <v>35</v>
      </c>
      <c r="B83" s="1" t="s">
        <v>31</v>
      </c>
      <c r="C83" s="1" t="s">
        <v>17</v>
      </c>
      <c r="D83" s="5">
        <v>0.70326666666666704</v>
      </c>
      <c r="E83">
        <v>0.20327999999999999</v>
      </c>
      <c r="F83" s="5">
        <f t="shared" si="2"/>
        <v>0.49998666666666702</v>
      </c>
      <c r="G83">
        <v>10</v>
      </c>
      <c r="H83">
        <f t="shared" si="3"/>
        <v>71.072016000000062</v>
      </c>
    </row>
    <row r="84" spans="1:8">
      <c r="A84" s="1" t="s">
        <v>35</v>
      </c>
      <c r="B84" s="1" t="s">
        <v>31</v>
      </c>
      <c r="C84" s="1" t="s">
        <v>18</v>
      </c>
      <c r="D84" s="5">
        <v>0.67766666666666697</v>
      </c>
      <c r="E84">
        <v>0.20327999999999999</v>
      </c>
      <c r="F84" s="5">
        <f t="shared" si="2"/>
        <v>0.47438666666666696</v>
      </c>
      <c r="G84">
        <v>10</v>
      </c>
      <c r="H84">
        <f t="shared" si="3"/>
        <v>67.454736000000054</v>
      </c>
    </row>
    <row r="85" spans="1:8">
      <c r="A85" s="1" t="s">
        <v>35</v>
      </c>
      <c r="B85" s="1" t="s">
        <v>31</v>
      </c>
      <c r="C85" s="1" t="s">
        <v>19</v>
      </c>
      <c r="D85" s="5">
        <v>0.63966666666666705</v>
      </c>
      <c r="E85">
        <v>0.20327999999999999</v>
      </c>
      <c r="F85" s="5">
        <f t="shared" si="2"/>
        <v>0.43638666666666703</v>
      </c>
      <c r="G85">
        <v>10</v>
      </c>
      <c r="H85">
        <f t="shared" si="3"/>
        <v>62.085336000000055</v>
      </c>
    </row>
    <row r="86" spans="1:8">
      <c r="A86" s="1" t="s">
        <v>35</v>
      </c>
      <c r="B86" s="1" t="s">
        <v>31</v>
      </c>
      <c r="C86" s="1" t="s">
        <v>21</v>
      </c>
      <c r="D86" s="5">
        <v>0.604866666666667</v>
      </c>
      <c r="E86">
        <v>0.20327999999999999</v>
      </c>
      <c r="F86" s="5">
        <f t="shared" si="2"/>
        <v>0.40158666666666698</v>
      </c>
      <c r="G86">
        <v>10</v>
      </c>
      <c r="H86">
        <f t="shared" si="3"/>
        <v>57.168096000000048</v>
      </c>
    </row>
    <row r="87" spans="1:8">
      <c r="A87" s="1" t="s">
        <v>35</v>
      </c>
      <c r="B87" s="1" t="s">
        <v>31</v>
      </c>
      <c r="C87" s="1" t="s">
        <v>22</v>
      </c>
      <c r="D87" s="5">
        <v>0.42056666666666698</v>
      </c>
      <c r="E87">
        <v>0.20327999999999999</v>
      </c>
      <c r="F87" s="5">
        <f t="shared" si="2"/>
        <v>0.21728666666666699</v>
      </c>
      <c r="G87">
        <v>10</v>
      </c>
      <c r="H87">
        <f t="shared" si="3"/>
        <v>31.126506000000049</v>
      </c>
    </row>
    <row r="88" spans="1:8">
      <c r="A88" s="1" t="s">
        <v>35</v>
      </c>
      <c r="B88" s="1" t="s">
        <v>31</v>
      </c>
      <c r="C88" s="1" t="s">
        <v>23</v>
      </c>
      <c r="D88" s="5">
        <v>0.64966666666666695</v>
      </c>
      <c r="E88">
        <v>0.20327999999999999</v>
      </c>
      <c r="F88" s="5">
        <f t="shared" si="2"/>
        <v>0.44638666666666693</v>
      </c>
      <c r="G88">
        <v>10</v>
      </c>
      <c r="H88">
        <f t="shared" si="3"/>
        <v>63.498336000000045</v>
      </c>
    </row>
    <row r="89" spans="1:8">
      <c r="A89" s="1" t="s">
        <v>35</v>
      </c>
      <c r="B89" s="1" t="s">
        <v>31</v>
      </c>
      <c r="C89" s="1" t="s">
        <v>25</v>
      </c>
      <c r="D89" s="5">
        <v>0.670366666666667</v>
      </c>
      <c r="E89">
        <v>0.20327999999999999</v>
      </c>
      <c r="F89" s="5">
        <f t="shared" si="2"/>
        <v>0.46708666666666698</v>
      </c>
      <c r="G89">
        <v>10</v>
      </c>
      <c r="H89">
        <f t="shared" si="3"/>
        <v>66.423246000000049</v>
      </c>
    </row>
    <row r="90" spans="1:8">
      <c r="A90" s="1" t="s">
        <v>35</v>
      </c>
      <c r="B90" s="1" t="s">
        <v>31</v>
      </c>
      <c r="C90" s="1" t="s">
        <v>26</v>
      </c>
      <c r="D90" s="5">
        <v>0.62466666666666704</v>
      </c>
      <c r="E90">
        <v>0.20327999999999999</v>
      </c>
      <c r="F90" s="5">
        <f t="shared" si="2"/>
        <v>0.42138666666666702</v>
      </c>
      <c r="G90">
        <v>10</v>
      </c>
      <c r="H90">
        <f t="shared" si="3"/>
        <v>59.96583600000006</v>
      </c>
    </row>
    <row r="91" spans="1:8">
      <c r="A91" s="1" t="s">
        <v>35</v>
      </c>
      <c r="B91" s="1" t="s">
        <v>31</v>
      </c>
      <c r="C91" s="1" t="s">
        <v>27</v>
      </c>
      <c r="D91" s="5">
        <v>0.74086666666666701</v>
      </c>
      <c r="E91">
        <v>0.20327999999999999</v>
      </c>
      <c r="F91" s="5">
        <f t="shared" si="2"/>
        <v>0.53758666666666699</v>
      </c>
      <c r="G91">
        <v>10</v>
      </c>
      <c r="H91">
        <f t="shared" si="3"/>
        <v>76.38489600000004</v>
      </c>
    </row>
    <row r="92" spans="1:8">
      <c r="A92" s="1" t="s">
        <v>35</v>
      </c>
      <c r="B92" s="1" t="s">
        <v>32</v>
      </c>
      <c r="C92" s="2" t="s">
        <v>4</v>
      </c>
      <c r="D92" s="5">
        <v>0.56125000000000003</v>
      </c>
      <c r="E92">
        <v>0.20327999999999999</v>
      </c>
      <c r="F92" s="5">
        <f t="shared" si="2"/>
        <v>0.35797000000000001</v>
      </c>
      <c r="G92">
        <v>10</v>
      </c>
      <c r="H92">
        <f t="shared" si="3"/>
        <v>51.005061000000005</v>
      </c>
    </row>
    <row r="93" spans="1:8">
      <c r="A93" s="1" t="s">
        <v>35</v>
      </c>
      <c r="B93" s="1" t="s">
        <v>32</v>
      </c>
      <c r="C93" s="2" t="s">
        <v>6</v>
      </c>
      <c r="D93" s="5">
        <v>0.85375000000000001</v>
      </c>
      <c r="E93">
        <v>0.20327999999999999</v>
      </c>
      <c r="F93" s="5">
        <f t="shared" si="2"/>
        <v>0.65046999999999999</v>
      </c>
      <c r="G93">
        <v>10</v>
      </c>
      <c r="H93">
        <f t="shared" si="3"/>
        <v>92.335311000000004</v>
      </c>
    </row>
    <row r="94" spans="1:8">
      <c r="A94" s="1" t="s">
        <v>35</v>
      </c>
      <c r="B94" s="1" t="s">
        <v>32</v>
      </c>
      <c r="C94" s="2" t="s">
        <v>7</v>
      </c>
      <c r="D94" s="5">
        <v>1.16025</v>
      </c>
      <c r="E94">
        <v>0.20327999999999999</v>
      </c>
      <c r="F94" s="5">
        <f t="shared" si="2"/>
        <v>0.95696999999999999</v>
      </c>
      <c r="G94">
        <v>10</v>
      </c>
      <c r="H94">
        <f t="shared" si="3"/>
        <v>135.64376099999998</v>
      </c>
    </row>
    <row r="95" spans="1:8">
      <c r="A95" s="1" t="s">
        <v>35</v>
      </c>
      <c r="B95" s="1" t="s">
        <v>32</v>
      </c>
      <c r="C95" s="2" t="s">
        <v>8</v>
      </c>
      <c r="D95" s="5">
        <v>0.79074999999999995</v>
      </c>
      <c r="E95">
        <v>0.20327999999999999</v>
      </c>
      <c r="F95" s="5">
        <f t="shared" si="2"/>
        <v>0.58746999999999994</v>
      </c>
      <c r="G95">
        <v>10</v>
      </c>
      <c r="H95">
        <f t="shared" si="3"/>
        <v>83.433411000000007</v>
      </c>
    </row>
    <row r="96" spans="1:8">
      <c r="A96" s="1" t="s">
        <v>35</v>
      </c>
      <c r="B96" s="1" t="s">
        <v>32</v>
      </c>
      <c r="C96" s="2" t="s">
        <v>10</v>
      </c>
      <c r="D96" s="5">
        <v>0.80464999999999998</v>
      </c>
      <c r="E96">
        <v>0.20327999999999999</v>
      </c>
      <c r="F96" s="5">
        <f t="shared" si="2"/>
        <v>0.60136999999999996</v>
      </c>
      <c r="G96">
        <v>10</v>
      </c>
      <c r="H96">
        <f t="shared" si="3"/>
        <v>85.397480999999999</v>
      </c>
    </row>
    <row r="97" spans="1:8">
      <c r="A97" s="1" t="s">
        <v>35</v>
      </c>
      <c r="B97" s="1" t="s">
        <v>32</v>
      </c>
      <c r="C97" s="2" t="s">
        <v>11</v>
      </c>
      <c r="D97" s="5">
        <v>0.85604999999999998</v>
      </c>
      <c r="E97">
        <v>0.20327999999999999</v>
      </c>
      <c r="F97" s="5">
        <f t="shared" si="2"/>
        <v>0.65276999999999996</v>
      </c>
      <c r="G97">
        <v>10</v>
      </c>
      <c r="H97">
        <f t="shared" si="3"/>
        <v>92.660301000000004</v>
      </c>
    </row>
    <row r="98" spans="1:8">
      <c r="A98" s="1" t="s">
        <v>35</v>
      </c>
      <c r="B98" s="1" t="s">
        <v>32</v>
      </c>
      <c r="C98" s="2" t="s">
        <v>12</v>
      </c>
      <c r="D98" s="5">
        <v>0.64224999999999999</v>
      </c>
      <c r="E98">
        <v>0.20327999999999999</v>
      </c>
      <c r="F98" s="5">
        <f t="shared" si="2"/>
        <v>0.43896999999999997</v>
      </c>
      <c r="G98">
        <v>10</v>
      </c>
      <c r="H98">
        <f t="shared" si="3"/>
        <v>62.450361000000001</v>
      </c>
    </row>
    <row r="99" spans="1:8">
      <c r="A99" s="1" t="s">
        <v>35</v>
      </c>
      <c r="B99" s="1" t="s">
        <v>32</v>
      </c>
      <c r="C99" s="2" t="s">
        <v>14</v>
      </c>
      <c r="D99" s="5">
        <v>0.78515000000000001</v>
      </c>
      <c r="E99">
        <v>0.20327999999999999</v>
      </c>
      <c r="F99" s="5">
        <f t="shared" si="2"/>
        <v>0.58187</v>
      </c>
      <c r="G99">
        <v>10</v>
      </c>
      <c r="H99">
        <f t="shared" si="3"/>
        <v>82.642131000000006</v>
      </c>
    </row>
    <row r="100" spans="1:8">
      <c r="A100" s="1" t="s">
        <v>35</v>
      </c>
      <c r="B100" s="1" t="s">
        <v>32</v>
      </c>
      <c r="C100" s="2" t="s">
        <v>15</v>
      </c>
      <c r="D100" s="5">
        <v>0.80035000000000001</v>
      </c>
      <c r="E100">
        <v>0.20327999999999999</v>
      </c>
      <c r="F100" s="5">
        <f t="shared" si="2"/>
        <v>0.59706999999999999</v>
      </c>
      <c r="G100">
        <v>10</v>
      </c>
      <c r="H100">
        <f t="shared" si="3"/>
        <v>84.789891000000011</v>
      </c>
    </row>
    <row r="101" spans="1:8">
      <c r="A101" s="1" t="s">
        <v>35</v>
      </c>
      <c r="B101" s="1" t="s">
        <v>32</v>
      </c>
      <c r="C101" s="2" t="s">
        <v>16</v>
      </c>
      <c r="D101" s="5">
        <v>0.87104999999999999</v>
      </c>
      <c r="E101">
        <v>0.20327999999999999</v>
      </c>
      <c r="F101" s="5">
        <f t="shared" si="2"/>
        <v>0.66776999999999997</v>
      </c>
      <c r="G101">
        <v>10</v>
      </c>
      <c r="H101">
        <f t="shared" si="3"/>
        <v>94.779800999999992</v>
      </c>
    </row>
    <row r="102" spans="1:8">
      <c r="A102" s="1" t="s">
        <v>35</v>
      </c>
      <c r="B102" s="1" t="s">
        <v>32</v>
      </c>
      <c r="C102" s="2" t="s">
        <v>18</v>
      </c>
      <c r="D102" s="5">
        <v>0.79464999999999997</v>
      </c>
      <c r="E102">
        <v>0.20327999999999999</v>
      </c>
      <c r="F102" s="5">
        <f t="shared" si="2"/>
        <v>0.59136999999999995</v>
      </c>
      <c r="G102">
        <v>10</v>
      </c>
      <c r="H102">
        <f t="shared" si="3"/>
        <v>83.984481000000002</v>
      </c>
    </row>
    <row r="103" spans="1:8">
      <c r="A103" s="1" t="s">
        <v>35</v>
      </c>
      <c r="B103" s="1" t="s">
        <v>32</v>
      </c>
      <c r="C103" s="2" t="s">
        <v>19</v>
      </c>
      <c r="D103" s="5">
        <v>0.81264999999999998</v>
      </c>
      <c r="E103">
        <v>0.20327999999999999</v>
      </c>
      <c r="F103" s="5">
        <f t="shared" si="2"/>
        <v>0.60936999999999997</v>
      </c>
      <c r="G103">
        <v>10</v>
      </c>
      <c r="H103">
        <f t="shared" si="3"/>
        <v>86.527880999999994</v>
      </c>
    </row>
    <row r="104" spans="1:8">
      <c r="A104" s="1" t="s">
        <v>35</v>
      </c>
      <c r="B104" s="1" t="s">
        <v>32</v>
      </c>
      <c r="C104" s="2" t="s">
        <v>20</v>
      </c>
      <c r="D104" s="5">
        <v>0.73834999999999995</v>
      </c>
      <c r="E104">
        <v>0.20327999999999999</v>
      </c>
      <c r="F104" s="5">
        <f t="shared" si="2"/>
        <v>0.53506999999999993</v>
      </c>
      <c r="G104">
        <v>10</v>
      </c>
      <c r="H104">
        <f t="shared" si="3"/>
        <v>76.029291000000001</v>
      </c>
    </row>
    <row r="105" spans="1:8">
      <c r="A105" s="1" t="s">
        <v>35</v>
      </c>
      <c r="B105" s="1" t="s">
        <v>32</v>
      </c>
      <c r="C105" s="2" t="s">
        <v>22</v>
      </c>
      <c r="D105" s="5">
        <v>0.65515000000000001</v>
      </c>
      <c r="E105">
        <v>0.20327999999999999</v>
      </c>
      <c r="F105" s="5">
        <f t="shared" si="2"/>
        <v>0.45186999999999999</v>
      </c>
      <c r="G105">
        <v>10</v>
      </c>
      <c r="H105">
        <f t="shared" si="3"/>
        <v>64.273130999999992</v>
      </c>
    </row>
    <row r="106" spans="1:8">
      <c r="A106" s="1" t="s">
        <v>35</v>
      </c>
      <c r="B106" s="1" t="s">
        <v>32</v>
      </c>
      <c r="C106" s="2" t="s">
        <v>23</v>
      </c>
      <c r="D106" s="5">
        <v>0.71945000000000003</v>
      </c>
      <c r="E106">
        <v>0.20327999999999999</v>
      </c>
      <c r="F106" s="5">
        <f t="shared" si="2"/>
        <v>0.51617000000000002</v>
      </c>
      <c r="G106">
        <v>10</v>
      </c>
      <c r="H106">
        <f t="shared" si="3"/>
        <v>73.358721000000003</v>
      </c>
    </row>
    <row r="107" spans="1:8">
      <c r="A107" s="1" t="s">
        <v>35</v>
      </c>
      <c r="B107" s="1" t="s">
        <v>32</v>
      </c>
      <c r="C107" s="2" t="s">
        <v>24</v>
      </c>
      <c r="D107" s="5">
        <v>0.80784999999999996</v>
      </c>
      <c r="E107">
        <v>0.20327999999999999</v>
      </c>
      <c r="F107" s="5">
        <f t="shared" si="2"/>
        <v>0.60456999999999994</v>
      </c>
      <c r="G107">
        <v>10</v>
      </c>
      <c r="H107">
        <f t="shared" si="3"/>
        <v>85.849641000000005</v>
      </c>
    </row>
    <row r="108" spans="1:8">
      <c r="A108" s="1" t="s">
        <v>35</v>
      </c>
      <c r="B108" s="1" t="s">
        <v>32</v>
      </c>
      <c r="C108" s="2" t="s">
        <v>26</v>
      </c>
      <c r="D108" s="5">
        <v>0.88624999999999998</v>
      </c>
      <c r="E108">
        <v>0.20327999999999999</v>
      </c>
      <c r="F108" s="5">
        <f t="shared" si="2"/>
        <v>0.68296999999999997</v>
      </c>
      <c r="G108">
        <v>10</v>
      </c>
      <c r="H108">
        <f t="shared" si="3"/>
        <v>96.927560999999997</v>
      </c>
    </row>
    <row r="109" spans="1:8">
      <c r="A109" s="1" t="s">
        <v>35</v>
      </c>
      <c r="B109" s="1" t="s">
        <v>32</v>
      </c>
      <c r="C109" s="2" t="s">
        <v>27</v>
      </c>
      <c r="D109" s="5">
        <v>0.84255000000000002</v>
      </c>
      <c r="E109">
        <v>0.20327999999999999</v>
      </c>
      <c r="F109" s="5">
        <f t="shared" si="2"/>
        <v>0.63927</v>
      </c>
      <c r="G109">
        <v>10</v>
      </c>
      <c r="H109">
        <f t="shared" si="3"/>
        <v>90.752751000000004</v>
      </c>
    </row>
    <row r="110" spans="1:8">
      <c r="A110" s="1" t="s">
        <v>35</v>
      </c>
      <c r="B110" s="1" t="s">
        <v>33</v>
      </c>
      <c r="C110" s="2" t="s">
        <v>4</v>
      </c>
      <c r="D110" s="5">
        <v>1.0055499999999999</v>
      </c>
      <c r="E110">
        <v>0.20327999999999999</v>
      </c>
      <c r="F110" s="5">
        <f t="shared" si="2"/>
        <v>0.80226999999999993</v>
      </c>
      <c r="G110">
        <v>10</v>
      </c>
      <c r="H110">
        <f t="shared" si="3"/>
        <v>113.784651</v>
      </c>
    </row>
    <row r="111" spans="1:8">
      <c r="A111" s="1" t="s">
        <v>35</v>
      </c>
      <c r="B111" s="1" t="s">
        <v>33</v>
      </c>
      <c r="C111" s="2" t="s">
        <v>6</v>
      </c>
      <c r="D111" s="5">
        <v>0.79954999999999998</v>
      </c>
      <c r="E111">
        <v>0.20327999999999999</v>
      </c>
      <c r="F111" s="5">
        <f t="shared" si="2"/>
        <v>0.59626999999999997</v>
      </c>
      <c r="G111">
        <v>10</v>
      </c>
      <c r="H111">
        <f t="shared" si="3"/>
        <v>84.676850999999999</v>
      </c>
    </row>
    <row r="112" spans="1:8">
      <c r="A112" s="1" t="s">
        <v>35</v>
      </c>
      <c r="B112" s="1" t="s">
        <v>33</v>
      </c>
      <c r="C112" s="2" t="s">
        <v>7</v>
      </c>
      <c r="D112" s="5">
        <v>0.73895</v>
      </c>
      <c r="E112">
        <v>0.20327999999999999</v>
      </c>
      <c r="F112" s="5">
        <f t="shared" si="2"/>
        <v>0.53566999999999998</v>
      </c>
      <c r="G112">
        <v>10</v>
      </c>
      <c r="H112">
        <f t="shared" si="3"/>
        <v>76.11407100000001</v>
      </c>
    </row>
    <row r="113" spans="1:8">
      <c r="A113" s="1" t="s">
        <v>35</v>
      </c>
      <c r="B113" s="1" t="s">
        <v>33</v>
      </c>
      <c r="C113" s="2" t="s">
        <v>8</v>
      </c>
      <c r="D113" s="5">
        <v>0.49175000000000002</v>
      </c>
      <c r="E113">
        <v>0.20327999999999999</v>
      </c>
      <c r="F113" s="5">
        <f t="shared" si="2"/>
        <v>0.28847</v>
      </c>
      <c r="G113">
        <v>10</v>
      </c>
      <c r="H113">
        <f t="shared" si="3"/>
        <v>41.184711000000007</v>
      </c>
    </row>
    <row r="114" spans="1:8">
      <c r="A114" s="1" t="s">
        <v>35</v>
      </c>
      <c r="B114" s="1" t="s">
        <v>33</v>
      </c>
      <c r="C114" s="2" t="s">
        <v>10</v>
      </c>
      <c r="D114" s="5">
        <v>0.59835000000000005</v>
      </c>
      <c r="E114">
        <v>0.20327999999999999</v>
      </c>
      <c r="F114" s="5">
        <f t="shared" si="2"/>
        <v>0.39507000000000003</v>
      </c>
      <c r="G114">
        <v>10</v>
      </c>
      <c r="H114">
        <f t="shared" si="3"/>
        <v>56.247291000000011</v>
      </c>
    </row>
    <row r="115" spans="1:8">
      <c r="A115" s="1" t="s">
        <v>35</v>
      </c>
      <c r="B115" s="1" t="s">
        <v>33</v>
      </c>
      <c r="C115" s="2" t="s">
        <v>11</v>
      </c>
      <c r="D115" s="5">
        <v>0.83504999999999996</v>
      </c>
      <c r="E115">
        <v>0.20327999999999999</v>
      </c>
      <c r="F115" s="5">
        <f t="shared" si="2"/>
        <v>0.63176999999999994</v>
      </c>
      <c r="G115">
        <v>10</v>
      </c>
      <c r="H115">
        <f t="shared" si="3"/>
        <v>89.693000999999995</v>
      </c>
    </row>
    <row r="116" spans="1:8">
      <c r="A116" s="1" t="s">
        <v>35</v>
      </c>
      <c r="B116" s="1" t="s">
        <v>33</v>
      </c>
      <c r="C116" s="2" t="s">
        <v>12</v>
      </c>
      <c r="D116" s="5">
        <v>0.74045000000000005</v>
      </c>
      <c r="E116">
        <v>0.20327999999999999</v>
      </c>
      <c r="F116" s="5">
        <f t="shared" si="2"/>
        <v>0.53717000000000004</v>
      </c>
      <c r="G116">
        <v>10</v>
      </c>
      <c r="H116">
        <f t="shared" si="3"/>
        <v>76.326021000000011</v>
      </c>
    </row>
    <row r="117" spans="1:8">
      <c r="A117" s="1" t="s">
        <v>35</v>
      </c>
      <c r="B117" s="1" t="s">
        <v>33</v>
      </c>
      <c r="C117" s="2" t="s">
        <v>14</v>
      </c>
      <c r="D117" s="5">
        <v>0.79035</v>
      </c>
      <c r="E117">
        <v>0.20327999999999999</v>
      </c>
      <c r="F117" s="5">
        <f t="shared" si="2"/>
        <v>0.58706999999999998</v>
      </c>
      <c r="G117">
        <v>10</v>
      </c>
      <c r="H117">
        <f t="shared" si="3"/>
        <v>83.376891000000001</v>
      </c>
    </row>
    <row r="118" spans="1:8">
      <c r="A118" s="1" t="s">
        <v>35</v>
      </c>
      <c r="B118" s="1" t="s">
        <v>33</v>
      </c>
      <c r="C118" s="2" t="s">
        <v>15</v>
      </c>
      <c r="D118" s="5">
        <v>0.99524999999999997</v>
      </c>
      <c r="E118">
        <v>0.20327999999999999</v>
      </c>
      <c r="F118" s="5">
        <f t="shared" si="2"/>
        <v>0.79196999999999995</v>
      </c>
      <c r="G118">
        <v>10</v>
      </c>
      <c r="H118">
        <f t="shared" si="3"/>
        <v>112.329261</v>
      </c>
    </row>
    <row r="119" spans="1:8">
      <c r="A119" s="1" t="s">
        <v>35</v>
      </c>
      <c r="B119" s="1" t="s">
        <v>33</v>
      </c>
      <c r="C119" s="2" t="s">
        <v>16</v>
      </c>
      <c r="D119" s="5">
        <v>0.62544999999999995</v>
      </c>
      <c r="E119">
        <v>0.20327999999999999</v>
      </c>
      <c r="F119" s="5">
        <f t="shared" si="2"/>
        <v>0.42216999999999993</v>
      </c>
      <c r="G119">
        <v>10</v>
      </c>
      <c r="H119">
        <f t="shared" si="3"/>
        <v>60.076520999999993</v>
      </c>
    </row>
    <row r="120" spans="1:8">
      <c r="A120" s="1" t="s">
        <v>35</v>
      </c>
      <c r="B120" s="1" t="s">
        <v>33</v>
      </c>
      <c r="C120" s="2" t="s">
        <v>18</v>
      </c>
      <c r="D120" s="5">
        <v>1.04525</v>
      </c>
      <c r="E120">
        <v>0.20327999999999999</v>
      </c>
      <c r="F120" s="5">
        <f t="shared" si="2"/>
        <v>0.84197</v>
      </c>
      <c r="G120">
        <v>10</v>
      </c>
      <c r="H120">
        <f t="shared" si="3"/>
        <v>119.39426100000001</v>
      </c>
    </row>
    <row r="121" spans="1:8">
      <c r="A121" s="1" t="s">
        <v>35</v>
      </c>
      <c r="B121" s="1" t="s">
        <v>33</v>
      </c>
      <c r="C121" s="2" t="s">
        <v>19</v>
      </c>
      <c r="D121" s="5">
        <v>0.65254999999999996</v>
      </c>
      <c r="E121">
        <v>0.20327999999999999</v>
      </c>
      <c r="F121" s="5">
        <f t="shared" si="2"/>
        <v>0.44926999999999995</v>
      </c>
      <c r="G121">
        <v>10</v>
      </c>
      <c r="H121">
        <f t="shared" si="3"/>
        <v>63.905750999999995</v>
      </c>
    </row>
    <row r="122" spans="1:8">
      <c r="A122" s="1" t="s">
        <v>35</v>
      </c>
      <c r="B122" s="1" t="s">
        <v>33</v>
      </c>
      <c r="C122" s="2" t="s">
        <v>20</v>
      </c>
      <c r="D122" s="5">
        <v>0.60514999999999997</v>
      </c>
      <c r="E122">
        <v>0.20327999999999999</v>
      </c>
      <c r="F122" s="5">
        <f t="shared" si="2"/>
        <v>0.40186999999999995</v>
      </c>
      <c r="G122">
        <v>10</v>
      </c>
      <c r="H122">
        <f t="shared" si="3"/>
        <v>57.208130999999995</v>
      </c>
    </row>
    <row r="123" spans="1:8">
      <c r="A123" s="1" t="s">
        <v>35</v>
      </c>
      <c r="B123" s="1" t="s">
        <v>33</v>
      </c>
      <c r="C123" s="2" t="s">
        <v>22</v>
      </c>
      <c r="D123" s="5">
        <v>0.78764999999999996</v>
      </c>
      <c r="E123">
        <v>0.20327999999999999</v>
      </c>
      <c r="F123" s="5">
        <f t="shared" si="2"/>
        <v>0.58436999999999995</v>
      </c>
      <c r="G123">
        <v>10</v>
      </c>
      <c r="H123">
        <f t="shared" si="3"/>
        <v>82.995380999999995</v>
      </c>
    </row>
    <row r="124" spans="1:8">
      <c r="A124" s="1" t="s">
        <v>35</v>
      </c>
      <c r="B124" s="1" t="s">
        <v>33</v>
      </c>
      <c r="C124" s="2" t="s">
        <v>23</v>
      </c>
      <c r="D124" s="5">
        <v>0.64815</v>
      </c>
      <c r="E124">
        <v>0.20327999999999999</v>
      </c>
      <c r="F124" s="5">
        <f t="shared" si="2"/>
        <v>0.44486999999999999</v>
      </c>
      <c r="G124">
        <v>10</v>
      </c>
      <c r="H124">
        <f t="shared" si="3"/>
        <v>63.284031000000006</v>
      </c>
    </row>
    <row r="125" spans="1:8">
      <c r="A125" s="1" t="s">
        <v>35</v>
      </c>
      <c r="B125" s="1" t="s">
        <v>33</v>
      </c>
      <c r="C125" s="2" t="s">
        <v>24</v>
      </c>
      <c r="D125" s="5">
        <v>0.82294999999999996</v>
      </c>
      <c r="E125">
        <v>0.20327999999999999</v>
      </c>
      <c r="F125" s="5">
        <f t="shared" si="2"/>
        <v>0.61966999999999994</v>
      </c>
      <c r="G125">
        <v>10</v>
      </c>
      <c r="H125">
        <f t="shared" si="3"/>
        <v>87.983271000000002</v>
      </c>
    </row>
    <row r="126" spans="1:8">
      <c r="A126" s="1" t="s">
        <v>35</v>
      </c>
      <c r="B126" s="1" t="s">
        <v>33</v>
      </c>
      <c r="C126" s="2" t="s">
        <v>26</v>
      </c>
      <c r="D126" s="5">
        <v>0.69515000000000005</v>
      </c>
      <c r="E126">
        <v>0.20327999999999999</v>
      </c>
      <c r="F126" s="5">
        <f t="shared" si="2"/>
        <v>0.49187000000000003</v>
      </c>
      <c r="G126">
        <v>10</v>
      </c>
      <c r="H126">
        <f t="shared" si="3"/>
        <v>69.925131000000022</v>
      </c>
    </row>
    <row r="127" spans="1:8">
      <c r="A127" s="1" t="s">
        <v>35</v>
      </c>
      <c r="B127" s="1" t="s">
        <v>33</v>
      </c>
      <c r="C127" s="2" t="s">
        <v>27</v>
      </c>
      <c r="D127" s="5">
        <v>0.88595000000000002</v>
      </c>
      <c r="E127">
        <v>0.20327999999999999</v>
      </c>
      <c r="F127" s="5">
        <f t="shared" si="2"/>
        <v>0.68267</v>
      </c>
      <c r="G127">
        <v>10</v>
      </c>
      <c r="H127">
        <f t="shared" si="3"/>
        <v>96.885171</v>
      </c>
    </row>
    <row r="128" spans="1:8">
      <c r="A128" s="1" t="s">
        <v>35</v>
      </c>
      <c r="B128" s="1" t="s">
        <v>34</v>
      </c>
      <c r="C128" s="2" t="s">
        <v>4</v>
      </c>
      <c r="D128" s="5">
        <v>0.71446666666666703</v>
      </c>
      <c r="E128">
        <v>0.20327999999999999</v>
      </c>
      <c r="F128" s="5">
        <f t="shared" si="2"/>
        <v>0.51118666666666701</v>
      </c>
      <c r="G128">
        <v>10</v>
      </c>
      <c r="H128">
        <f t="shared" si="3"/>
        <v>72.654576000000048</v>
      </c>
    </row>
    <row r="129" spans="1:8">
      <c r="A129" s="1" t="s">
        <v>35</v>
      </c>
      <c r="B129" s="1" t="s">
        <v>34</v>
      </c>
      <c r="C129" s="2" t="s">
        <v>6</v>
      </c>
      <c r="D129" s="5">
        <v>0.83826666666666705</v>
      </c>
      <c r="E129">
        <v>0.20327999999999999</v>
      </c>
      <c r="F129" s="5">
        <f t="shared" si="2"/>
        <v>0.63498666666666703</v>
      </c>
      <c r="G129">
        <v>10</v>
      </c>
      <c r="H129">
        <f t="shared" si="3"/>
        <v>90.147516000000053</v>
      </c>
    </row>
    <row r="130" spans="1:8">
      <c r="A130" s="1" t="s">
        <v>35</v>
      </c>
      <c r="B130" s="1" t="s">
        <v>34</v>
      </c>
      <c r="C130" s="2" t="s">
        <v>7</v>
      </c>
      <c r="D130" s="5">
        <v>0.88916666666666699</v>
      </c>
      <c r="E130">
        <v>0.20327999999999999</v>
      </c>
      <c r="F130" s="5">
        <f t="shared" si="2"/>
        <v>0.68588666666666698</v>
      </c>
      <c r="G130">
        <v>10</v>
      </c>
      <c r="H130">
        <f t="shared" si="3"/>
        <v>97.339686000000043</v>
      </c>
    </row>
    <row r="131" spans="1:8">
      <c r="A131" s="1" t="s">
        <v>35</v>
      </c>
      <c r="B131" s="1" t="s">
        <v>34</v>
      </c>
      <c r="C131" s="2" t="s">
        <v>8</v>
      </c>
      <c r="D131" s="5">
        <v>0.52896666666666703</v>
      </c>
      <c r="E131">
        <v>0.20327999999999999</v>
      </c>
      <c r="F131" s="5">
        <f t="shared" ref="F131:F194" si="4">D131-E131</f>
        <v>0.32568666666666701</v>
      </c>
      <c r="G131">
        <v>10</v>
      </c>
      <c r="H131">
        <f t="shared" ref="H131:H194" si="5">0.1413*(F131+0.003)*G131/0.01</f>
        <v>46.443426000000052</v>
      </c>
    </row>
    <row r="132" spans="1:8">
      <c r="A132" s="1" t="s">
        <v>35</v>
      </c>
      <c r="B132" s="1" t="s">
        <v>34</v>
      </c>
      <c r="C132" s="2" t="s">
        <v>10</v>
      </c>
      <c r="D132" s="5">
        <v>0.685466666666667</v>
      </c>
      <c r="E132">
        <v>0.20327999999999999</v>
      </c>
      <c r="F132" s="5">
        <f t="shared" si="4"/>
        <v>0.48218666666666699</v>
      </c>
      <c r="G132">
        <v>10</v>
      </c>
      <c r="H132">
        <f t="shared" si="5"/>
        <v>68.556876000000045</v>
      </c>
    </row>
    <row r="133" spans="1:8">
      <c r="A133" s="1" t="s">
        <v>35</v>
      </c>
      <c r="B133" s="1" t="s">
        <v>34</v>
      </c>
      <c r="C133" s="2" t="s">
        <v>11</v>
      </c>
      <c r="D133" s="5">
        <v>0.71426666666666705</v>
      </c>
      <c r="E133">
        <v>0.20327999999999999</v>
      </c>
      <c r="F133" s="5">
        <f t="shared" si="4"/>
        <v>0.51098666666666703</v>
      </c>
      <c r="G133">
        <v>10</v>
      </c>
      <c r="H133">
        <f t="shared" si="5"/>
        <v>72.626316000000045</v>
      </c>
    </row>
    <row r="134" spans="1:8">
      <c r="A134" s="1" t="s">
        <v>35</v>
      </c>
      <c r="B134" s="1" t="s">
        <v>34</v>
      </c>
      <c r="C134" s="2" t="s">
        <v>12</v>
      </c>
      <c r="D134" s="5">
        <v>0.82906666666666695</v>
      </c>
      <c r="E134">
        <v>0.20327999999999999</v>
      </c>
      <c r="F134" s="5">
        <f t="shared" si="4"/>
        <v>0.62578666666666694</v>
      </c>
      <c r="G134">
        <v>10</v>
      </c>
      <c r="H134">
        <f t="shared" si="5"/>
        <v>88.847556000000054</v>
      </c>
    </row>
    <row r="135" spans="1:8">
      <c r="A135" s="1" t="s">
        <v>35</v>
      </c>
      <c r="B135" s="1" t="s">
        <v>34</v>
      </c>
      <c r="C135" s="2" t="s">
        <v>14</v>
      </c>
      <c r="D135" s="5">
        <v>0.98776666666666701</v>
      </c>
      <c r="E135">
        <v>0.20327999999999999</v>
      </c>
      <c r="F135" s="5">
        <f t="shared" si="4"/>
        <v>0.784486666666667</v>
      </c>
      <c r="G135">
        <v>10</v>
      </c>
      <c r="H135">
        <f t="shared" si="5"/>
        <v>111.27186600000005</v>
      </c>
    </row>
    <row r="136" spans="1:8">
      <c r="A136" s="1" t="s">
        <v>35</v>
      </c>
      <c r="B136" s="1" t="s">
        <v>34</v>
      </c>
      <c r="C136" s="2" t="s">
        <v>15</v>
      </c>
      <c r="D136" s="5">
        <v>0.75126666666666697</v>
      </c>
      <c r="E136">
        <v>0.20327999999999999</v>
      </c>
      <c r="F136" s="5">
        <f t="shared" si="4"/>
        <v>0.54798666666666696</v>
      </c>
      <c r="G136">
        <v>10</v>
      </c>
      <c r="H136">
        <f t="shared" si="5"/>
        <v>77.854416000000043</v>
      </c>
    </row>
    <row r="137" spans="1:8">
      <c r="A137" s="1" t="s">
        <v>35</v>
      </c>
      <c r="B137" s="1" t="s">
        <v>34</v>
      </c>
      <c r="C137" s="2" t="s">
        <v>16</v>
      </c>
      <c r="D137" s="5">
        <v>0.87316666666666698</v>
      </c>
      <c r="E137">
        <v>0.20327999999999999</v>
      </c>
      <c r="F137" s="5">
        <f t="shared" si="4"/>
        <v>0.66988666666666696</v>
      </c>
      <c r="G137">
        <v>10</v>
      </c>
      <c r="H137">
        <f t="shared" si="5"/>
        <v>95.07888600000004</v>
      </c>
    </row>
    <row r="138" spans="1:8">
      <c r="A138" s="1" t="s">
        <v>35</v>
      </c>
      <c r="B138" s="1" t="s">
        <v>34</v>
      </c>
      <c r="C138" s="2" t="s">
        <v>18</v>
      </c>
      <c r="D138" s="5">
        <v>0.93086666666666695</v>
      </c>
      <c r="E138">
        <v>0.20327999999999999</v>
      </c>
      <c r="F138" s="5">
        <f t="shared" si="4"/>
        <v>0.72758666666666694</v>
      </c>
      <c r="G138">
        <v>10</v>
      </c>
      <c r="H138">
        <f t="shared" si="5"/>
        <v>103.23189600000005</v>
      </c>
    </row>
    <row r="139" spans="1:8">
      <c r="A139" s="1" t="s">
        <v>35</v>
      </c>
      <c r="B139" s="1" t="s">
        <v>34</v>
      </c>
      <c r="C139" s="2" t="s">
        <v>19</v>
      </c>
      <c r="D139" s="5">
        <v>0.88626666666666698</v>
      </c>
      <c r="E139">
        <v>0.20327999999999999</v>
      </c>
      <c r="F139" s="5">
        <f t="shared" si="4"/>
        <v>0.68298666666666696</v>
      </c>
      <c r="G139">
        <v>10</v>
      </c>
      <c r="H139">
        <f t="shared" si="5"/>
        <v>96.929916000000048</v>
      </c>
    </row>
    <row r="140" spans="1:8">
      <c r="A140" s="1" t="s">
        <v>35</v>
      </c>
      <c r="B140" s="1" t="s">
        <v>34</v>
      </c>
      <c r="C140" s="2" t="s">
        <v>20</v>
      </c>
      <c r="D140" s="5">
        <v>0.90266666666666695</v>
      </c>
      <c r="E140">
        <v>0.20327999999999999</v>
      </c>
      <c r="F140" s="5">
        <f t="shared" si="4"/>
        <v>0.69938666666666693</v>
      </c>
      <c r="G140">
        <v>10</v>
      </c>
      <c r="H140">
        <f t="shared" si="5"/>
        <v>99.247236000000044</v>
      </c>
    </row>
    <row r="141" spans="1:8">
      <c r="A141" s="1" t="s">
        <v>35</v>
      </c>
      <c r="B141" s="1" t="s">
        <v>34</v>
      </c>
      <c r="C141" s="2" t="s">
        <v>22</v>
      </c>
      <c r="D141" s="5">
        <v>0.72746666666666704</v>
      </c>
      <c r="E141">
        <v>0.20327999999999999</v>
      </c>
      <c r="F141" s="5">
        <f t="shared" si="4"/>
        <v>0.52418666666666702</v>
      </c>
      <c r="G141">
        <v>10</v>
      </c>
      <c r="H141">
        <f t="shared" si="5"/>
        <v>74.491476000000048</v>
      </c>
    </row>
    <row r="142" spans="1:8">
      <c r="A142" s="1" t="s">
        <v>35</v>
      </c>
      <c r="B142" s="1" t="s">
        <v>34</v>
      </c>
      <c r="C142" s="2" t="s">
        <v>23</v>
      </c>
      <c r="D142" s="5">
        <v>0.62156666666666704</v>
      </c>
      <c r="E142">
        <v>0.20327999999999999</v>
      </c>
      <c r="F142" s="5">
        <f t="shared" si="4"/>
        <v>0.41828666666666703</v>
      </c>
      <c r="G142">
        <v>10</v>
      </c>
      <c r="H142">
        <f t="shared" si="5"/>
        <v>59.527806000000062</v>
      </c>
    </row>
    <row r="143" spans="1:8">
      <c r="A143" s="1" t="s">
        <v>35</v>
      </c>
      <c r="B143" s="1" t="s">
        <v>34</v>
      </c>
      <c r="C143" s="2" t="s">
        <v>24</v>
      </c>
      <c r="D143" s="5">
        <v>0.69586666666666697</v>
      </c>
      <c r="E143">
        <v>0.20327999999999999</v>
      </c>
      <c r="F143" s="5">
        <f t="shared" si="4"/>
        <v>0.49258666666666695</v>
      </c>
      <c r="G143">
        <v>10</v>
      </c>
      <c r="H143">
        <f t="shared" si="5"/>
        <v>70.026396000000048</v>
      </c>
    </row>
    <row r="144" spans="1:8">
      <c r="A144" s="1" t="s">
        <v>35</v>
      </c>
      <c r="B144" s="1" t="s">
        <v>34</v>
      </c>
      <c r="C144" s="2" t="s">
        <v>26</v>
      </c>
      <c r="D144" s="5">
        <v>0.537266666666667</v>
      </c>
      <c r="E144">
        <v>0.20327999999999999</v>
      </c>
      <c r="F144" s="5">
        <f t="shared" si="4"/>
        <v>0.33398666666666699</v>
      </c>
      <c r="G144">
        <v>10</v>
      </c>
      <c r="H144">
        <f t="shared" si="5"/>
        <v>47.616216000000051</v>
      </c>
    </row>
    <row r="145" spans="1:8">
      <c r="A145" s="1" t="s">
        <v>35</v>
      </c>
      <c r="B145" s="1" t="s">
        <v>34</v>
      </c>
      <c r="C145" s="2" t="s">
        <v>27</v>
      </c>
      <c r="D145" s="5">
        <v>0.67696666666666705</v>
      </c>
      <c r="E145">
        <v>0.20327999999999999</v>
      </c>
      <c r="F145" s="5">
        <f t="shared" si="4"/>
        <v>0.47368666666666703</v>
      </c>
      <c r="G145">
        <v>10</v>
      </c>
      <c r="H145">
        <f t="shared" si="5"/>
        <v>67.355826000000064</v>
      </c>
    </row>
    <row r="146" spans="1:8">
      <c r="A146" s="1" t="s">
        <v>36</v>
      </c>
      <c r="B146" s="1" t="s">
        <v>37</v>
      </c>
      <c r="C146" s="2" t="s">
        <v>4</v>
      </c>
      <c r="D146" s="5">
        <v>0.45443333333333302</v>
      </c>
      <c r="E146">
        <v>0.20327999999999999</v>
      </c>
      <c r="F146" s="5">
        <f t="shared" si="4"/>
        <v>0.25115333333333301</v>
      </c>
      <c r="G146">
        <v>10</v>
      </c>
      <c r="H146">
        <f t="shared" si="5"/>
        <v>35.911865999999961</v>
      </c>
    </row>
    <row r="147" spans="1:8">
      <c r="A147" s="1" t="s">
        <v>36</v>
      </c>
      <c r="B147" s="1" t="s">
        <v>37</v>
      </c>
      <c r="C147" s="2" t="s">
        <v>6</v>
      </c>
      <c r="D147" s="5">
        <v>0.61943333333333295</v>
      </c>
      <c r="E147">
        <v>0.20327999999999999</v>
      </c>
      <c r="F147" s="5">
        <f t="shared" si="4"/>
        <v>0.41615333333333293</v>
      </c>
      <c r="G147">
        <v>10</v>
      </c>
      <c r="H147">
        <f t="shared" si="5"/>
        <v>59.226365999999949</v>
      </c>
    </row>
    <row r="148" spans="1:8">
      <c r="A148" s="1" t="s">
        <v>36</v>
      </c>
      <c r="B148" s="1" t="s">
        <v>37</v>
      </c>
      <c r="C148" s="2" t="s">
        <v>7</v>
      </c>
      <c r="D148" s="5">
        <v>0.68703333333333305</v>
      </c>
      <c r="E148">
        <v>0.20327999999999999</v>
      </c>
      <c r="F148" s="5">
        <f t="shared" si="4"/>
        <v>0.48375333333333304</v>
      </c>
      <c r="G148">
        <v>10</v>
      </c>
      <c r="H148">
        <f t="shared" si="5"/>
        <v>68.778245999999953</v>
      </c>
    </row>
    <row r="149" spans="1:8">
      <c r="A149" s="1" t="s">
        <v>36</v>
      </c>
      <c r="B149" s="1" t="s">
        <v>37</v>
      </c>
      <c r="C149" s="2" t="s">
        <v>8</v>
      </c>
      <c r="D149" s="5">
        <v>0.75943333333333296</v>
      </c>
      <c r="E149">
        <v>0.20327999999999999</v>
      </c>
      <c r="F149" s="5">
        <f t="shared" si="4"/>
        <v>0.55615333333333294</v>
      </c>
      <c r="G149">
        <v>10</v>
      </c>
      <c r="H149">
        <f t="shared" si="5"/>
        <v>79.008365999999953</v>
      </c>
    </row>
    <row r="150" spans="1:8">
      <c r="A150" s="1" t="s">
        <v>36</v>
      </c>
      <c r="B150" s="1" t="s">
        <v>37</v>
      </c>
      <c r="C150" s="2" t="s">
        <v>10</v>
      </c>
      <c r="D150" s="5">
        <v>0.51563333333333305</v>
      </c>
      <c r="E150">
        <v>0.20327999999999999</v>
      </c>
      <c r="F150" s="5">
        <f t="shared" si="4"/>
        <v>0.31235333333333304</v>
      </c>
      <c r="G150">
        <v>10</v>
      </c>
      <c r="H150">
        <f t="shared" si="5"/>
        <v>44.559425999999959</v>
      </c>
    </row>
    <row r="151" spans="1:8">
      <c r="A151" s="1" t="s">
        <v>36</v>
      </c>
      <c r="B151" s="1" t="s">
        <v>37</v>
      </c>
      <c r="C151" s="2" t="s">
        <v>11</v>
      </c>
      <c r="D151" s="5">
        <v>0.76643333333333297</v>
      </c>
      <c r="E151">
        <v>0.20327999999999999</v>
      </c>
      <c r="F151" s="5">
        <f t="shared" si="4"/>
        <v>0.56315333333333295</v>
      </c>
      <c r="G151">
        <v>10</v>
      </c>
      <c r="H151">
        <f t="shared" si="5"/>
        <v>79.997465999999946</v>
      </c>
    </row>
    <row r="152" spans="1:8">
      <c r="A152" s="1" t="s">
        <v>36</v>
      </c>
      <c r="B152" s="1" t="s">
        <v>37</v>
      </c>
      <c r="C152" s="2" t="s">
        <v>12</v>
      </c>
      <c r="D152" s="5">
        <v>0.68983333333333297</v>
      </c>
      <c r="E152">
        <v>0.20327999999999999</v>
      </c>
      <c r="F152" s="5">
        <f t="shared" si="4"/>
        <v>0.48655333333333295</v>
      </c>
      <c r="G152">
        <v>10</v>
      </c>
      <c r="H152">
        <f t="shared" si="5"/>
        <v>69.173885999999953</v>
      </c>
    </row>
    <row r="153" spans="1:8">
      <c r="A153" s="1" t="s">
        <v>36</v>
      </c>
      <c r="B153" s="1" t="s">
        <v>37</v>
      </c>
      <c r="C153" s="2" t="s">
        <v>14</v>
      </c>
      <c r="D153" s="5">
        <v>0.52203333333333302</v>
      </c>
      <c r="E153">
        <v>0.20327999999999999</v>
      </c>
      <c r="F153" s="5">
        <f t="shared" si="4"/>
        <v>0.318753333333333</v>
      </c>
      <c r="G153">
        <v>10</v>
      </c>
      <c r="H153">
        <f t="shared" si="5"/>
        <v>45.463745999999958</v>
      </c>
    </row>
    <row r="154" spans="1:8">
      <c r="A154" s="1" t="s">
        <v>36</v>
      </c>
      <c r="B154" s="1" t="s">
        <v>37</v>
      </c>
      <c r="C154" s="2" t="s">
        <v>15</v>
      </c>
      <c r="D154" s="5">
        <v>0.74723333333333297</v>
      </c>
      <c r="E154">
        <v>0.20327999999999999</v>
      </c>
      <c r="F154" s="5">
        <f t="shared" si="4"/>
        <v>0.54395333333333296</v>
      </c>
      <c r="G154">
        <v>10</v>
      </c>
      <c r="H154">
        <f t="shared" si="5"/>
        <v>77.284505999999936</v>
      </c>
    </row>
    <row r="155" spans="1:8">
      <c r="A155" s="1" t="s">
        <v>36</v>
      </c>
      <c r="B155" s="1" t="s">
        <v>37</v>
      </c>
      <c r="C155" s="2" t="s">
        <v>16</v>
      </c>
      <c r="D155" s="5">
        <v>0.58483333333333298</v>
      </c>
      <c r="E155">
        <v>0.20327999999999999</v>
      </c>
      <c r="F155" s="5">
        <f t="shared" si="4"/>
        <v>0.38155333333333297</v>
      </c>
      <c r="G155">
        <v>10</v>
      </c>
      <c r="H155">
        <f t="shared" si="5"/>
        <v>54.337385999999952</v>
      </c>
    </row>
    <row r="156" spans="1:8">
      <c r="A156" s="1" t="s">
        <v>36</v>
      </c>
      <c r="B156" s="1" t="s">
        <v>37</v>
      </c>
      <c r="C156" s="2" t="s">
        <v>18</v>
      </c>
      <c r="D156" s="5">
        <v>0.69223333333333303</v>
      </c>
      <c r="E156">
        <v>0.20327999999999999</v>
      </c>
      <c r="F156" s="5">
        <f t="shared" si="4"/>
        <v>0.48895333333333302</v>
      </c>
      <c r="G156">
        <v>10</v>
      </c>
      <c r="H156">
        <f t="shared" si="5"/>
        <v>69.513005999999962</v>
      </c>
    </row>
    <row r="157" spans="1:8">
      <c r="A157" s="1" t="s">
        <v>36</v>
      </c>
      <c r="B157" s="1" t="s">
        <v>37</v>
      </c>
      <c r="C157" s="2" t="s">
        <v>19</v>
      </c>
      <c r="D157" s="5">
        <v>0.57923333333333304</v>
      </c>
      <c r="E157">
        <v>0.20327999999999999</v>
      </c>
      <c r="F157" s="5">
        <f t="shared" si="4"/>
        <v>0.37595333333333303</v>
      </c>
      <c r="G157">
        <v>10</v>
      </c>
      <c r="H157">
        <f t="shared" si="5"/>
        <v>53.546105999999959</v>
      </c>
    </row>
    <row r="158" spans="1:8">
      <c r="A158" s="1" t="s">
        <v>36</v>
      </c>
      <c r="B158" s="1" t="s">
        <v>37</v>
      </c>
      <c r="C158" s="2" t="s">
        <v>20</v>
      </c>
      <c r="D158" s="5">
        <v>0.62263333333333304</v>
      </c>
      <c r="E158">
        <v>0.20327999999999999</v>
      </c>
      <c r="F158" s="5">
        <f t="shared" si="4"/>
        <v>0.41935333333333302</v>
      </c>
      <c r="G158">
        <v>10</v>
      </c>
      <c r="H158">
        <f t="shared" si="5"/>
        <v>59.678525999999962</v>
      </c>
    </row>
    <row r="159" spans="1:8">
      <c r="A159" s="1" t="s">
        <v>36</v>
      </c>
      <c r="B159" s="1" t="s">
        <v>37</v>
      </c>
      <c r="C159" s="2" t="s">
        <v>22</v>
      </c>
      <c r="D159" s="5">
        <v>0.60843333333333305</v>
      </c>
      <c r="E159">
        <v>0.20327999999999999</v>
      </c>
      <c r="F159" s="5">
        <f t="shared" si="4"/>
        <v>0.40515333333333303</v>
      </c>
      <c r="G159">
        <v>10</v>
      </c>
      <c r="H159">
        <f t="shared" si="5"/>
        <v>57.672065999999951</v>
      </c>
    </row>
    <row r="160" spans="1:8">
      <c r="A160" s="1" t="s">
        <v>36</v>
      </c>
      <c r="B160" s="1" t="s">
        <v>37</v>
      </c>
      <c r="C160" s="2" t="s">
        <v>23</v>
      </c>
      <c r="D160" s="5">
        <v>0.71413333333333295</v>
      </c>
      <c r="E160">
        <v>0.20327999999999999</v>
      </c>
      <c r="F160" s="5">
        <f t="shared" si="4"/>
        <v>0.51085333333333294</v>
      </c>
      <c r="G160">
        <v>10</v>
      </c>
      <c r="H160">
        <f t="shared" si="5"/>
        <v>72.607475999999949</v>
      </c>
    </row>
    <row r="161" spans="1:8">
      <c r="A161" s="1" t="s">
        <v>36</v>
      </c>
      <c r="B161" s="1" t="s">
        <v>37</v>
      </c>
      <c r="C161" s="2" t="s">
        <v>24</v>
      </c>
      <c r="D161" s="5">
        <v>0.71953333333333303</v>
      </c>
      <c r="E161">
        <v>0.20327999999999999</v>
      </c>
      <c r="F161" s="5">
        <f t="shared" si="4"/>
        <v>0.51625333333333301</v>
      </c>
      <c r="G161">
        <v>10</v>
      </c>
      <c r="H161">
        <f t="shared" si="5"/>
        <v>73.37049599999996</v>
      </c>
    </row>
    <row r="162" spans="1:8">
      <c r="A162" s="1" t="s">
        <v>36</v>
      </c>
      <c r="B162" s="1" t="s">
        <v>37</v>
      </c>
      <c r="C162" s="2" t="s">
        <v>26</v>
      </c>
      <c r="D162" s="5">
        <v>0.89163333333333294</v>
      </c>
      <c r="E162">
        <v>0.20327999999999999</v>
      </c>
      <c r="F162" s="5">
        <f t="shared" si="4"/>
        <v>0.68835333333333293</v>
      </c>
      <c r="G162">
        <v>10</v>
      </c>
      <c r="H162">
        <f t="shared" si="5"/>
        <v>97.688225999999943</v>
      </c>
    </row>
    <row r="163" spans="1:8">
      <c r="A163" s="1" t="s">
        <v>36</v>
      </c>
      <c r="B163" s="1" t="s">
        <v>37</v>
      </c>
      <c r="C163" s="2" t="s">
        <v>27</v>
      </c>
      <c r="D163" s="5">
        <v>0.80133333333333301</v>
      </c>
      <c r="E163">
        <v>0.20327999999999999</v>
      </c>
      <c r="F163" s="5">
        <f t="shared" si="4"/>
        <v>0.59805333333333299</v>
      </c>
      <c r="G163">
        <v>10</v>
      </c>
      <c r="H163">
        <f t="shared" si="5"/>
        <v>84.928835999999947</v>
      </c>
    </row>
    <row r="164" spans="1:8">
      <c r="A164" s="1" t="s">
        <v>36</v>
      </c>
      <c r="B164" s="1" t="s">
        <v>38</v>
      </c>
      <c r="C164" s="2" t="s">
        <v>4</v>
      </c>
      <c r="D164" s="5">
        <v>0.46675</v>
      </c>
      <c r="E164">
        <v>0.20327999999999999</v>
      </c>
      <c r="F164" s="5">
        <f t="shared" si="4"/>
        <v>0.26346999999999998</v>
      </c>
      <c r="G164">
        <v>10</v>
      </c>
      <c r="H164">
        <f t="shared" si="5"/>
        <v>37.652210999999994</v>
      </c>
    </row>
    <row r="165" spans="1:8">
      <c r="A165" s="1" t="s">
        <v>36</v>
      </c>
      <c r="B165" s="1" t="s">
        <v>38</v>
      </c>
      <c r="C165" s="2" t="s">
        <v>6</v>
      </c>
      <c r="D165" s="5">
        <v>0.62104999999999999</v>
      </c>
      <c r="E165">
        <v>0.20327999999999999</v>
      </c>
      <c r="F165" s="5">
        <f t="shared" si="4"/>
        <v>0.41776999999999997</v>
      </c>
      <c r="G165">
        <v>10</v>
      </c>
      <c r="H165">
        <f t="shared" si="5"/>
        <v>59.454801000000003</v>
      </c>
    </row>
    <row r="166" spans="1:8">
      <c r="A166" s="1" t="s">
        <v>36</v>
      </c>
      <c r="B166" s="1" t="s">
        <v>38</v>
      </c>
      <c r="C166" s="2" t="s">
        <v>7</v>
      </c>
      <c r="D166" s="5">
        <v>0.52915000000000001</v>
      </c>
      <c r="E166">
        <v>0.20327999999999999</v>
      </c>
      <c r="F166" s="5">
        <f t="shared" si="4"/>
        <v>0.32586999999999999</v>
      </c>
      <c r="G166">
        <v>10</v>
      </c>
      <c r="H166">
        <f t="shared" si="5"/>
        <v>46.469331000000004</v>
      </c>
    </row>
    <row r="167" spans="1:8">
      <c r="A167" s="1" t="s">
        <v>36</v>
      </c>
      <c r="B167" s="1" t="s">
        <v>38</v>
      </c>
      <c r="C167" s="2" t="s">
        <v>8</v>
      </c>
      <c r="D167" s="5">
        <v>0.47365000000000002</v>
      </c>
      <c r="E167">
        <v>0.20327999999999999</v>
      </c>
      <c r="F167" s="5">
        <f t="shared" si="4"/>
        <v>0.27037</v>
      </c>
      <c r="G167">
        <v>10</v>
      </c>
      <c r="H167">
        <f t="shared" si="5"/>
        <v>38.627181000000007</v>
      </c>
    </row>
    <row r="168" spans="1:8">
      <c r="A168" s="1" t="s">
        <v>36</v>
      </c>
      <c r="B168" s="1" t="s">
        <v>38</v>
      </c>
      <c r="C168" s="2" t="s">
        <v>10</v>
      </c>
      <c r="D168" s="5">
        <v>0.61595</v>
      </c>
      <c r="E168">
        <v>0.20327999999999999</v>
      </c>
      <c r="F168" s="5">
        <f t="shared" si="4"/>
        <v>0.41266999999999998</v>
      </c>
      <c r="G168">
        <v>10</v>
      </c>
      <c r="H168">
        <f t="shared" si="5"/>
        <v>58.734171000000003</v>
      </c>
    </row>
    <row r="169" spans="1:8">
      <c r="A169" s="1" t="s">
        <v>36</v>
      </c>
      <c r="B169" s="1" t="s">
        <v>38</v>
      </c>
      <c r="C169" s="2" t="s">
        <v>11</v>
      </c>
      <c r="D169" s="5">
        <v>0.78415000000000001</v>
      </c>
      <c r="E169">
        <v>0.20327999999999999</v>
      </c>
      <c r="F169" s="5">
        <f t="shared" si="4"/>
        <v>0.58087</v>
      </c>
      <c r="G169">
        <v>10</v>
      </c>
      <c r="H169">
        <f t="shared" si="5"/>
        <v>82.500831000000005</v>
      </c>
    </row>
    <row r="170" spans="1:8">
      <c r="A170" s="1" t="s">
        <v>36</v>
      </c>
      <c r="B170" s="1" t="s">
        <v>38</v>
      </c>
      <c r="C170" s="2" t="s">
        <v>12</v>
      </c>
      <c r="D170" s="5">
        <v>0.56245000000000001</v>
      </c>
      <c r="E170">
        <v>0.20327999999999999</v>
      </c>
      <c r="F170" s="5">
        <f t="shared" si="4"/>
        <v>0.35916999999999999</v>
      </c>
      <c r="G170">
        <v>10</v>
      </c>
      <c r="H170">
        <f t="shared" si="5"/>
        <v>51.174621000000009</v>
      </c>
    </row>
    <row r="171" spans="1:8">
      <c r="A171" s="1" t="s">
        <v>36</v>
      </c>
      <c r="B171" s="1" t="s">
        <v>38</v>
      </c>
      <c r="C171" s="2" t="s">
        <v>14</v>
      </c>
      <c r="D171" s="5">
        <v>0.56864999999999999</v>
      </c>
      <c r="E171">
        <v>0.20327999999999999</v>
      </c>
      <c r="F171" s="5">
        <f t="shared" si="4"/>
        <v>0.36536999999999997</v>
      </c>
      <c r="G171">
        <v>10</v>
      </c>
      <c r="H171">
        <f t="shared" si="5"/>
        <v>52.050680999999997</v>
      </c>
    </row>
    <row r="172" spans="1:8">
      <c r="A172" s="1" t="s">
        <v>36</v>
      </c>
      <c r="B172" s="1" t="s">
        <v>38</v>
      </c>
      <c r="C172" s="2" t="s">
        <v>15</v>
      </c>
      <c r="D172" s="5">
        <v>0.75714999999999999</v>
      </c>
      <c r="E172">
        <v>0.20327999999999999</v>
      </c>
      <c r="F172" s="5">
        <f t="shared" si="4"/>
        <v>0.55386999999999997</v>
      </c>
      <c r="G172">
        <v>10</v>
      </c>
      <c r="H172">
        <f t="shared" si="5"/>
        <v>78.68573099999999</v>
      </c>
    </row>
    <row r="173" spans="1:8">
      <c r="A173" s="1" t="s">
        <v>36</v>
      </c>
      <c r="B173" s="1" t="s">
        <v>38</v>
      </c>
      <c r="C173" s="2" t="s">
        <v>16</v>
      </c>
      <c r="D173" s="5">
        <v>0.46565000000000001</v>
      </c>
      <c r="E173">
        <v>0.20327999999999999</v>
      </c>
      <c r="F173" s="5">
        <f t="shared" si="4"/>
        <v>0.26236999999999999</v>
      </c>
      <c r="G173">
        <v>10</v>
      </c>
      <c r="H173">
        <f t="shared" si="5"/>
        <v>37.496780999999999</v>
      </c>
    </row>
    <row r="174" spans="1:8">
      <c r="A174" s="1" t="s">
        <v>36</v>
      </c>
      <c r="B174" s="1" t="s">
        <v>38</v>
      </c>
      <c r="C174" s="2" t="s">
        <v>18</v>
      </c>
      <c r="D174" s="5">
        <v>0.71594999999999998</v>
      </c>
      <c r="E174">
        <v>0.20327999999999999</v>
      </c>
      <c r="F174" s="5">
        <f t="shared" si="4"/>
        <v>0.51266999999999996</v>
      </c>
      <c r="G174">
        <v>10</v>
      </c>
      <c r="H174">
        <f t="shared" si="5"/>
        <v>72.864170999999999</v>
      </c>
    </row>
    <row r="175" spans="1:8">
      <c r="A175" s="1" t="s">
        <v>36</v>
      </c>
      <c r="B175" s="1" t="s">
        <v>38</v>
      </c>
      <c r="C175" s="2" t="s">
        <v>19</v>
      </c>
      <c r="D175" s="5">
        <v>0.58535000000000004</v>
      </c>
      <c r="E175">
        <v>0.20327999999999999</v>
      </c>
      <c r="F175" s="5">
        <f t="shared" si="4"/>
        <v>0.38207000000000002</v>
      </c>
      <c r="G175">
        <v>10</v>
      </c>
      <c r="H175">
        <f t="shared" si="5"/>
        <v>54.410391000000011</v>
      </c>
    </row>
    <row r="176" spans="1:8">
      <c r="A176" s="1" t="s">
        <v>36</v>
      </c>
      <c r="B176" s="1" t="s">
        <v>38</v>
      </c>
      <c r="C176" s="2" t="s">
        <v>20</v>
      </c>
      <c r="D176" s="5">
        <v>0.44124999999999998</v>
      </c>
      <c r="E176">
        <v>0.20327999999999999</v>
      </c>
      <c r="F176" s="5">
        <f t="shared" si="4"/>
        <v>0.23796999999999999</v>
      </c>
      <c r="G176">
        <v>10</v>
      </c>
      <c r="H176">
        <f t="shared" si="5"/>
        <v>34.049060999999995</v>
      </c>
    </row>
    <row r="177" spans="1:8">
      <c r="A177" s="1" t="s">
        <v>36</v>
      </c>
      <c r="B177" s="1" t="s">
        <v>38</v>
      </c>
      <c r="C177" s="2" t="s">
        <v>22</v>
      </c>
      <c r="D177" s="5">
        <v>0.66864999999999997</v>
      </c>
      <c r="E177">
        <v>0.20327999999999999</v>
      </c>
      <c r="F177" s="5">
        <f t="shared" si="4"/>
        <v>0.46536999999999995</v>
      </c>
      <c r="G177">
        <v>10</v>
      </c>
      <c r="H177">
        <f t="shared" si="5"/>
        <v>66.180680999999979</v>
      </c>
    </row>
    <row r="178" spans="1:8">
      <c r="A178" s="1" t="s">
        <v>36</v>
      </c>
      <c r="B178" s="1" t="s">
        <v>38</v>
      </c>
      <c r="C178" s="2" t="s">
        <v>23</v>
      </c>
      <c r="D178" s="5">
        <v>0.47954999999999998</v>
      </c>
      <c r="E178">
        <v>0.20327999999999999</v>
      </c>
      <c r="F178" s="5">
        <f t="shared" si="4"/>
        <v>0.27627000000000002</v>
      </c>
      <c r="G178">
        <v>10</v>
      </c>
      <c r="H178">
        <f t="shared" si="5"/>
        <v>39.460851000000005</v>
      </c>
    </row>
    <row r="179" spans="1:8">
      <c r="A179" s="1" t="s">
        <v>36</v>
      </c>
      <c r="B179" s="1" t="s">
        <v>38</v>
      </c>
      <c r="C179" s="2" t="s">
        <v>24</v>
      </c>
      <c r="D179" s="5">
        <v>0.63075000000000003</v>
      </c>
      <c r="E179">
        <v>0.20327999999999999</v>
      </c>
      <c r="F179" s="5">
        <f t="shared" si="4"/>
        <v>0.42747000000000002</v>
      </c>
      <c r="G179">
        <v>10</v>
      </c>
      <c r="H179">
        <f t="shared" si="5"/>
        <v>60.825411000000003</v>
      </c>
    </row>
    <row r="180" spans="1:8">
      <c r="A180" s="1" t="s">
        <v>36</v>
      </c>
      <c r="B180" s="1" t="s">
        <v>38</v>
      </c>
      <c r="C180" s="2" t="s">
        <v>26</v>
      </c>
      <c r="D180" s="5">
        <v>0.77285000000000004</v>
      </c>
      <c r="E180">
        <v>0.20327999999999999</v>
      </c>
      <c r="F180" s="5">
        <f t="shared" si="4"/>
        <v>0.56957000000000002</v>
      </c>
      <c r="G180">
        <v>10</v>
      </c>
      <c r="H180">
        <f t="shared" si="5"/>
        <v>80.90414100000001</v>
      </c>
    </row>
    <row r="181" spans="1:8">
      <c r="A181" s="1" t="s">
        <v>36</v>
      </c>
      <c r="B181" s="1" t="s">
        <v>38</v>
      </c>
      <c r="C181" s="2" t="s">
        <v>27</v>
      </c>
      <c r="D181" s="5">
        <v>0.64834999999999998</v>
      </c>
      <c r="E181">
        <v>0.20327999999999999</v>
      </c>
      <c r="F181" s="5">
        <f t="shared" si="4"/>
        <v>0.44506999999999997</v>
      </c>
      <c r="G181">
        <v>10</v>
      </c>
      <c r="H181">
        <f t="shared" si="5"/>
        <v>63.312290999999995</v>
      </c>
    </row>
    <row r="182" spans="1:8">
      <c r="A182" s="1" t="s">
        <v>36</v>
      </c>
      <c r="B182" s="1" t="s">
        <v>39</v>
      </c>
      <c r="C182" s="2" t="s">
        <v>4</v>
      </c>
      <c r="D182" s="5">
        <v>0.59924999999999995</v>
      </c>
      <c r="E182">
        <v>0.20327999999999999</v>
      </c>
      <c r="F182" s="5">
        <f t="shared" si="4"/>
        <v>0.39596999999999993</v>
      </c>
      <c r="G182">
        <v>10</v>
      </c>
      <c r="H182">
        <f t="shared" si="5"/>
        <v>56.374460999999997</v>
      </c>
    </row>
    <row r="183" spans="1:8">
      <c r="A183" s="1" t="s">
        <v>36</v>
      </c>
      <c r="B183" s="1" t="s">
        <v>39</v>
      </c>
      <c r="C183" s="2" t="s">
        <v>6</v>
      </c>
      <c r="D183" s="5">
        <v>0.50124999999999997</v>
      </c>
      <c r="E183">
        <v>0.20327999999999999</v>
      </c>
      <c r="F183" s="5">
        <f t="shared" si="4"/>
        <v>0.29796999999999996</v>
      </c>
      <c r="G183">
        <v>10</v>
      </c>
      <c r="H183">
        <f t="shared" si="5"/>
        <v>42.527060999999996</v>
      </c>
    </row>
    <row r="184" spans="1:8">
      <c r="A184" s="1" t="s">
        <v>36</v>
      </c>
      <c r="B184" s="1" t="s">
        <v>39</v>
      </c>
      <c r="C184" s="2" t="s">
        <v>7</v>
      </c>
      <c r="D184" s="5">
        <v>0.69105000000000005</v>
      </c>
      <c r="E184">
        <v>0.20327999999999999</v>
      </c>
      <c r="F184" s="5">
        <f t="shared" si="4"/>
        <v>0.48777000000000004</v>
      </c>
      <c r="G184">
        <v>10</v>
      </c>
      <c r="H184">
        <f t="shared" si="5"/>
        <v>69.345801000000009</v>
      </c>
    </row>
    <row r="185" spans="1:8">
      <c r="A185" s="1" t="s">
        <v>36</v>
      </c>
      <c r="B185" s="1" t="s">
        <v>39</v>
      </c>
      <c r="C185" s="2" t="s">
        <v>8</v>
      </c>
      <c r="D185" s="5">
        <v>0.59984999999999999</v>
      </c>
      <c r="E185">
        <v>0.20327999999999999</v>
      </c>
      <c r="F185" s="5">
        <f t="shared" si="4"/>
        <v>0.39656999999999998</v>
      </c>
      <c r="G185">
        <v>10</v>
      </c>
      <c r="H185">
        <f t="shared" si="5"/>
        <v>56.459241000000006</v>
      </c>
    </row>
    <row r="186" spans="1:8">
      <c r="A186" s="1" t="s">
        <v>36</v>
      </c>
      <c r="B186" s="1" t="s">
        <v>39</v>
      </c>
      <c r="C186" s="2" t="s">
        <v>10</v>
      </c>
      <c r="D186" s="5">
        <v>0.51144999999999996</v>
      </c>
      <c r="E186">
        <v>0.20327999999999999</v>
      </c>
      <c r="F186" s="5">
        <f t="shared" si="4"/>
        <v>0.30816999999999994</v>
      </c>
      <c r="G186">
        <v>10</v>
      </c>
      <c r="H186">
        <f t="shared" si="5"/>
        <v>43.968320999999996</v>
      </c>
    </row>
    <row r="187" spans="1:8">
      <c r="A187" s="1" t="s">
        <v>36</v>
      </c>
      <c r="B187" s="1" t="s">
        <v>39</v>
      </c>
      <c r="C187" s="2" t="s">
        <v>11</v>
      </c>
      <c r="D187" s="5">
        <v>0.45784999999999998</v>
      </c>
      <c r="E187">
        <v>0.20327999999999999</v>
      </c>
      <c r="F187" s="5">
        <f t="shared" si="4"/>
        <v>0.25456999999999996</v>
      </c>
      <c r="G187">
        <v>10</v>
      </c>
      <c r="H187">
        <f t="shared" si="5"/>
        <v>36.394641</v>
      </c>
    </row>
    <row r="188" spans="1:8">
      <c r="A188" s="1" t="s">
        <v>36</v>
      </c>
      <c r="B188" s="1" t="s">
        <v>39</v>
      </c>
      <c r="C188" s="2" t="s">
        <v>12</v>
      </c>
      <c r="D188" s="5">
        <v>0.63634999999999997</v>
      </c>
      <c r="E188">
        <v>0.20327999999999999</v>
      </c>
      <c r="F188" s="5">
        <f t="shared" si="4"/>
        <v>0.43306999999999995</v>
      </c>
      <c r="G188">
        <v>10</v>
      </c>
      <c r="H188">
        <f t="shared" si="5"/>
        <v>61.616691000000003</v>
      </c>
    </row>
    <row r="189" spans="1:8">
      <c r="A189" s="1" t="s">
        <v>36</v>
      </c>
      <c r="B189" s="1" t="s">
        <v>39</v>
      </c>
      <c r="C189" s="2" t="s">
        <v>14</v>
      </c>
      <c r="D189" s="5">
        <v>0.72855000000000003</v>
      </c>
      <c r="E189">
        <v>0.20327999999999999</v>
      </c>
      <c r="F189" s="5">
        <f t="shared" si="4"/>
        <v>0.52527000000000001</v>
      </c>
      <c r="G189">
        <v>10</v>
      </c>
      <c r="H189">
        <f t="shared" si="5"/>
        <v>74.644551000000007</v>
      </c>
    </row>
    <row r="190" spans="1:8">
      <c r="A190" s="1" t="s">
        <v>36</v>
      </c>
      <c r="B190" s="1" t="s">
        <v>39</v>
      </c>
      <c r="C190" s="2" t="s">
        <v>15</v>
      </c>
      <c r="D190" s="5">
        <v>0.61604999999999999</v>
      </c>
      <c r="E190">
        <v>0.20327999999999999</v>
      </c>
      <c r="F190" s="5">
        <f t="shared" si="4"/>
        <v>0.41276999999999997</v>
      </c>
      <c r="G190">
        <v>10</v>
      </c>
      <c r="H190">
        <f t="shared" si="5"/>
        <v>58.748301000000005</v>
      </c>
    </row>
    <row r="191" spans="1:8">
      <c r="A191" s="1" t="s">
        <v>36</v>
      </c>
      <c r="B191" s="1" t="s">
        <v>39</v>
      </c>
      <c r="C191" s="2" t="s">
        <v>16</v>
      </c>
      <c r="D191" s="5">
        <v>0.69074999999999998</v>
      </c>
      <c r="E191">
        <v>0.20327999999999999</v>
      </c>
      <c r="F191" s="5">
        <f t="shared" si="4"/>
        <v>0.48746999999999996</v>
      </c>
      <c r="G191">
        <v>10</v>
      </c>
      <c r="H191">
        <f t="shared" si="5"/>
        <v>69.303410999999997</v>
      </c>
    </row>
    <row r="192" spans="1:8">
      <c r="A192" s="1" t="s">
        <v>36</v>
      </c>
      <c r="B192" s="1" t="s">
        <v>39</v>
      </c>
      <c r="C192" s="2" t="s">
        <v>18</v>
      </c>
      <c r="D192" s="5">
        <v>0.57404999999999995</v>
      </c>
      <c r="E192">
        <v>0.20327999999999999</v>
      </c>
      <c r="F192" s="5">
        <f t="shared" si="4"/>
        <v>0.37076999999999993</v>
      </c>
      <c r="G192">
        <v>10</v>
      </c>
      <c r="H192">
        <f t="shared" si="5"/>
        <v>52.813701000000002</v>
      </c>
    </row>
    <row r="193" spans="1:8">
      <c r="A193" s="1" t="s">
        <v>36</v>
      </c>
      <c r="B193" s="1" t="s">
        <v>39</v>
      </c>
      <c r="C193" s="2" t="s">
        <v>19</v>
      </c>
      <c r="D193" s="5">
        <v>0.58204999999999996</v>
      </c>
      <c r="E193">
        <v>0.20327999999999999</v>
      </c>
      <c r="F193" s="5">
        <f t="shared" si="4"/>
        <v>0.37876999999999994</v>
      </c>
      <c r="G193">
        <v>10</v>
      </c>
      <c r="H193">
        <f t="shared" si="5"/>
        <v>53.944100999999996</v>
      </c>
    </row>
    <row r="194" spans="1:8">
      <c r="A194" s="1" t="s">
        <v>36</v>
      </c>
      <c r="B194" s="1" t="s">
        <v>39</v>
      </c>
      <c r="C194" s="2" t="s">
        <v>20</v>
      </c>
      <c r="D194" s="5">
        <v>0.52825</v>
      </c>
      <c r="E194">
        <v>0.20327999999999999</v>
      </c>
      <c r="F194" s="5">
        <f t="shared" si="4"/>
        <v>0.32496999999999998</v>
      </c>
      <c r="G194">
        <v>10</v>
      </c>
      <c r="H194">
        <f t="shared" si="5"/>
        <v>46.342160999999997</v>
      </c>
    </row>
    <row r="195" spans="1:8">
      <c r="A195" s="1" t="s">
        <v>36</v>
      </c>
      <c r="B195" s="1" t="s">
        <v>39</v>
      </c>
      <c r="C195" s="2" t="s">
        <v>22</v>
      </c>
      <c r="D195" s="5">
        <v>0.61614999999999998</v>
      </c>
      <c r="E195">
        <v>0.20327999999999999</v>
      </c>
      <c r="F195" s="5">
        <f t="shared" ref="F195:F258" si="6">D195-E195</f>
        <v>0.41286999999999996</v>
      </c>
      <c r="G195">
        <v>10</v>
      </c>
      <c r="H195">
        <f t="shared" ref="H195:H258" si="7">0.1413*(F195+0.003)*G195/0.01</f>
        <v>58.762430999999992</v>
      </c>
    </row>
    <row r="196" spans="1:8">
      <c r="A196" s="1" t="s">
        <v>36</v>
      </c>
      <c r="B196" s="1" t="s">
        <v>39</v>
      </c>
      <c r="C196" s="2" t="s">
        <v>23</v>
      </c>
      <c r="D196" s="5">
        <v>0.56145</v>
      </c>
      <c r="E196">
        <v>0.20327999999999999</v>
      </c>
      <c r="F196" s="5">
        <f t="shared" si="6"/>
        <v>0.35816999999999999</v>
      </c>
      <c r="G196">
        <v>10</v>
      </c>
      <c r="H196">
        <f t="shared" si="7"/>
        <v>51.033320999999994</v>
      </c>
    </row>
    <row r="197" spans="1:8">
      <c r="A197" s="1" t="s">
        <v>36</v>
      </c>
      <c r="B197" s="1" t="s">
        <v>39</v>
      </c>
      <c r="C197" s="2" t="s">
        <v>24</v>
      </c>
      <c r="D197" s="5">
        <v>0.57015000000000005</v>
      </c>
      <c r="E197">
        <v>0.20327999999999999</v>
      </c>
      <c r="F197" s="5">
        <f t="shared" si="6"/>
        <v>0.36687000000000003</v>
      </c>
      <c r="G197">
        <v>10</v>
      </c>
      <c r="H197">
        <f t="shared" si="7"/>
        <v>52.262631000000013</v>
      </c>
    </row>
    <row r="198" spans="1:8">
      <c r="A198" s="1" t="s">
        <v>36</v>
      </c>
      <c r="B198" s="1" t="s">
        <v>39</v>
      </c>
      <c r="C198" s="2" t="s">
        <v>26</v>
      </c>
      <c r="D198" s="5">
        <v>0.46384999999999998</v>
      </c>
      <c r="E198">
        <v>0.20327999999999999</v>
      </c>
      <c r="F198" s="5">
        <f t="shared" si="6"/>
        <v>0.26056999999999997</v>
      </c>
      <c r="G198">
        <v>10</v>
      </c>
      <c r="H198">
        <f t="shared" si="7"/>
        <v>37.242441000000007</v>
      </c>
    </row>
    <row r="199" spans="1:8">
      <c r="A199" s="1" t="s">
        <v>36</v>
      </c>
      <c r="B199" s="1" t="s">
        <v>39</v>
      </c>
      <c r="C199" s="2" t="s">
        <v>27</v>
      </c>
      <c r="D199" s="5">
        <v>0.47094999999999998</v>
      </c>
      <c r="E199">
        <v>0.20327999999999999</v>
      </c>
      <c r="F199" s="5">
        <f t="shared" si="6"/>
        <v>0.26766999999999996</v>
      </c>
      <c r="G199">
        <v>10</v>
      </c>
      <c r="H199">
        <f t="shared" si="7"/>
        <v>38.245670999999994</v>
      </c>
    </row>
    <row r="200" spans="1:8">
      <c r="A200" s="1" t="s">
        <v>36</v>
      </c>
      <c r="B200" s="1" t="s">
        <v>40</v>
      </c>
      <c r="C200" s="2" t="s">
        <v>4</v>
      </c>
      <c r="D200" s="5">
        <v>0.51659999999999995</v>
      </c>
      <c r="E200">
        <v>0.20327999999999999</v>
      </c>
      <c r="F200" s="5">
        <f t="shared" si="6"/>
        <v>0.31331999999999993</v>
      </c>
      <c r="G200">
        <v>10</v>
      </c>
      <c r="H200">
        <f t="shared" si="7"/>
        <v>44.696015999999993</v>
      </c>
    </row>
    <row r="201" spans="1:8">
      <c r="A201" s="1" t="s">
        <v>36</v>
      </c>
      <c r="B201" s="1" t="s">
        <v>40</v>
      </c>
      <c r="C201" s="2" t="s">
        <v>6</v>
      </c>
      <c r="D201" s="5">
        <v>0.6784</v>
      </c>
      <c r="E201">
        <v>0.20327999999999999</v>
      </c>
      <c r="F201" s="5">
        <f t="shared" si="6"/>
        <v>0.47511999999999999</v>
      </c>
      <c r="G201">
        <v>10</v>
      </c>
      <c r="H201">
        <f t="shared" si="7"/>
        <v>67.558355999999989</v>
      </c>
    </row>
    <row r="202" spans="1:8">
      <c r="A202" s="1" t="s">
        <v>36</v>
      </c>
      <c r="B202" s="1" t="s">
        <v>40</v>
      </c>
      <c r="C202" s="2" t="s">
        <v>7</v>
      </c>
      <c r="D202" s="5">
        <v>0.84430000000000005</v>
      </c>
      <c r="E202">
        <v>0.20327999999999999</v>
      </c>
      <c r="F202" s="5">
        <f t="shared" si="6"/>
        <v>0.64102000000000003</v>
      </c>
      <c r="G202">
        <v>10</v>
      </c>
      <c r="H202">
        <f t="shared" si="7"/>
        <v>91.000026000000005</v>
      </c>
    </row>
    <row r="203" spans="1:8">
      <c r="A203" s="1" t="s">
        <v>36</v>
      </c>
      <c r="B203" s="1" t="s">
        <v>40</v>
      </c>
      <c r="C203" s="2" t="s">
        <v>8</v>
      </c>
      <c r="D203" s="5">
        <v>0.75309999999999999</v>
      </c>
      <c r="E203">
        <v>0.20327999999999999</v>
      </c>
      <c r="F203" s="5">
        <f t="shared" si="6"/>
        <v>0.54981999999999998</v>
      </c>
      <c r="G203">
        <v>10</v>
      </c>
      <c r="H203">
        <f t="shared" si="7"/>
        <v>78.113466000000003</v>
      </c>
    </row>
    <row r="204" spans="1:8">
      <c r="A204" s="1" t="s">
        <v>36</v>
      </c>
      <c r="B204" s="1" t="s">
        <v>40</v>
      </c>
      <c r="C204" s="2" t="s">
        <v>10</v>
      </c>
      <c r="D204" s="5">
        <v>0.64129999999999998</v>
      </c>
      <c r="E204">
        <v>0.20327999999999999</v>
      </c>
      <c r="F204" s="5">
        <f t="shared" si="6"/>
        <v>0.43801999999999996</v>
      </c>
      <c r="G204">
        <v>10</v>
      </c>
      <c r="H204">
        <f t="shared" si="7"/>
        <v>62.316126000000004</v>
      </c>
    </row>
    <row r="205" spans="1:8">
      <c r="A205" s="1" t="s">
        <v>36</v>
      </c>
      <c r="B205" s="1" t="s">
        <v>40</v>
      </c>
      <c r="C205" s="2" t="s">
        <v>11</v>
      </c>
      <c r="D205" s="5">
        <v>0.78210000000000002</v>
      </c>
      <c r="E205">
        <v>0.20327999999999999</v>
      </c>
      <c r="F205" s="5">
        <f t="shared" si="6"/>
        <v>0.57882</v>
      </c>
      <c r="G205">
        <v>10</v>
      </c>
      <c r="H205">
        <f t="shared" si="7"/>
        <v>82.211166000000006</v>
      </c>
    </row>
    <row r="206" spans="1:8">
      <c r="A206" s="1" t="s">
        <v>36</v>
      </c>
      <c r="B206" s="1" t="s">
        <v>40</v>
      </c>
      <c r="C206" s="2" t="s">
        <v>12</v>
      </c>
      <c r="D206" s="5">
        <v>0.69030000000000002</v>
      </c>
      <c r="E206">
        <v>0.20327999999999999</v>
      </c>
      <c r="F206" s="5">
        <f t="shared" si="6"/>
        <v>0.48702000000000001</v>
      </c>
      <c r="G206">
        <v>10</v>
      </c>
      <c r="H206">
        <f t="shared" si="7"/>
        <v>69.239826000000008</v>
      </c>
    </row>
    <row r="207" spans="1:8">
      <c r="A207" s="1" t="s">
        <v>36</v>
      </c>
      <c r="B207" s="1" t="s">
        <v>40</v>
      </c>
      <c r="C207" s="2" t="s">
        <v>14</v>
      </c>
      <c r="D207" s="5">
        <v>0.71699999999999997</v>
      </c>
      <c r="E207">
        <v>0.20327999999999999</v>
      </c>
      <c r="F207" s="5">
        <f t="shared" si="6"/>
        <v>0.51371999999999995</v>
      </c>
      <c r="G207">
        <v>10</v>
      </c>
      <c r="H207">
        <f t="shared" si="7"/>
        <v>73.012535999999997</v>
      </c>
    </row>
    <row r="208" spans="1:8">
      <c r="A208" s="1" t="s">
        <v>36</v>
      </c>
      <c r="B208" s="1" t="s">
        <v>40</v>
      </c>
      <c r="C208" s="2" t="s">
        <v>15</v>
      </c>
      <c r="D208" s="5">
        <v>0.62039999999999995</v>
      </c>
      <c r="E208">
        <v>0.20327999999999999</v>
      </c>
      <c r="F208" s="5">
        <f t="shared" si="6"/>
        <v>0.41711999999999994</v>
      </c>
      <c r="G208">
        <v>10</v>
      </c>
      <c r="H208">
        <f t="shared" si="7"/>
        <v>59.36295599999999</v>
      </c>
    </row>
    <row r="209" spans="1:8">
      <c r="A209" s="1" t="s">
        <v>36</v>
      </c>
      <c r="B209" s="1" t="s">
        <v>40</v>
      </c>
      <c r="C209" s="2" t="s">
        <v>16</v>
      </c>
      <c r="D209" s="5">
        <v>0.50409999999999999</v>
      </c>
      <c r="E209">
        <v>0.20327999999999999</v>
      </c>
      <c r="F209" s="5">
        <f t="shared" si="6"/>
        <v>0.30081999999999998</v>
      </c>
      <c r="G209">
        <v>10</v>
      </c>
      <c r="H209">
        <f t="shared" si="7"/>
        <v>42.929766000000001</v>
      </c>
    </row>
    <row r="210" spans="1:8">
      <c r="A210" s="1" t="s">
        <v>36</v>
      </c>
      <c r="B210" s="1" t="s">
        <v>40</v>
      </c>
      <c r="C210" s="2" t="s">
        <v>18</v>
      </c>
      <c r="D210" s="5">
        <v>0.50980000000000003</v>
      </c>
      <c r="E210">
        <v>0.20327999999999999</v>
      </c>
      <c r="F210" s="5">
        <f t="shared" si="6"/>
        <v>0.30652000000000001</v>
      </c>
      <c r="G210">
        <v>10</v>
      </c>
      <c r="H210">
        <f t="shared" si="7"/>
        <v>43.73517600000001</v>
      </c>
    </row>
    <row r="211" spans="1:8">
      <c r="A211" s="1" t="s">
        <v>36</v>
      </c>
      <c r="B211" s="1" t="s">
        <v>40</v>
      </c>
      <c r="C211" s="2" t="s">
        <v>19</v>
      </c>
      <c r="D211" s="5">
        <v>0.58099999999999996</v>
      </c>
      <c r="E211">
        <v>0.20327999999999999</v>
      </c>
      <c r="F211" s="5">
        <f t="shared" si="6"/>
        <v>0.37771999999999994</v>
      </c>
      <c r="G211">
        <v>10</v>
      </c>
      <c r="H211">
        <f t="shared" si="7"/>
        <v>53.795735999999991</v>
      </c>
    </row>
    <row r="212" spans="1:8">
      <c r="A212" s="1" t="s">
        <v>36</v>
      </c>
      <c r="B212" s="1" t="s">
        <v>40</v>
      </c>
      <c r="C212" s="2" t="s">
        <v>20</v>
      </c>
      <c r="D212" s="5">
        <v>0.68179999999999996</v>
      </c>
      <c r="E212">
        <v>0.20327999999999999</v>
      </c>
      <c r="F212" s="5">
        <f t="shared" si="6"/>
        <v>0.47851999999999995</v>
      </c>
      <c r="G212">
        <v>10</v>
      </c>
      <c r="H212">
        <f t="shared" si="7"/>
        <v>68.038775999999984</v>
      </c>
    </row>
    <row r="213" spans="1:8">
      <c r="A213" s="1" t="s">
        <v>36</v>
      </c>
      <c r="B213" s="1" t="s">
        <v>40</v>
      </c>
      <c r="C213" s="2" t="s">
        <v>22</v>
      </c>
      <c r="D213" s="5">
        <v>0.70609999999999995</v>
      </c>
      <c r="E213">
        <v>0.20327999999999999</v>
      </c>
      <c r="F213" s="5">
        <f t="shared" si="6"/>
        <v>0.50281999999999993</v>
      </c>
      <c r="G213">
        <v>10</v>
      </c>
      <c r="H213">
        <f t="shared" si="7"/>
        <v>71.472365999999994</v>
      </c>
    </row>
    <row r="214" spans="1:8">
      <c r="A214" s="1" t="s">
        <v>36</v>
      </c>
      <c r="B214" s="1" t="s">
        <v>40</v>
      </c>
      <c r="C214" s="2" t="s">
        <v>23</v>
      </c>
      <c r="D214" s="5">
        <v>0.71930000000000005</v>
      </c>
      <c r="E214">
        <v>0.20327999999999999</v>
      </c>
      <c r="F214" s="5">
        <f t="shared" si="6"/>
        <v>0.51602000000000003</v>
      </c>
      <c r="G214">
        <v>10</v>
      </c>
      <c r="H214">
        <f t="shared" si="7"/>
        <v>73.337526000000011</v>
      </c>
    </row>
    <row r="215" spans="1:8">
      <c r="A215" s="1" t="s">
        <v>36</v>
      </c>
      <c r="B215" s="1" t="s">
        <v>40</v>
      </c>
      <c r="C215" s="2" t="s">
        <v>24</v>
      </c>
      <c r="D215" s="5">
        <v>0.71919999999999995</v>
      </c>
      <c r="E215">
        <v>0.20327999999999999</v>
      </c>
      <c r="F215" s="5">
        <f t="shared" si="6"/>
        <v>0.51591999999999993</v>
      </c>
      <c r="G215">
        <v>10</v>
      </c>
      <c r="H215">
        <f t="shared" si="7"/>
        <v>73.323395999999988</v>
      </c>
    </row>
    <row r="216" spans="1:8">
      <c r="A216" s="1" t="s">
        <v>36</v>
      </c>
      <c r="B216" s="1" t="s">
        <v>40</v>
      </c>
      <c r="C216" s="2" t="s">
        <v>26</v>
      </c>
      <c r="D216" s="5">
        <v>0.77059999999999995</v>
      </c>
      <c r="E216">
        <v>0.20327999999999999</v>
      </c>
      <c r="F216" s="5">
        <f t="shared" si="6"/>
        <v>0.56731999999999994</v>
      </c>
      <c r="G216">
        <v>10</v>
      </c>
      <c r="H216">
        <f t="shared" si="7"/>
        <v>80.586215999999993</v>
      </c>
    </row>
    <row r="217" spans="1:8">
      <c r="A217" s="1" t="s">
        <v>36</v>
      </c>
      <c r="B217" s="1" t="s">
        <v>40</v>
      </c>
      <c r="C217" s="2" t="s">
        <v>27</v>
      </c>
      <c r="D217" s="5">
        <v>0.63770000000000004</v>
      </c>
      <c r="E217">
        <v>0.20327999999999999</v>
      </c>
      <c r="F217" s="5">
        <f t="shared" si="6"/>
        <v>0.43442000000000003</v>
      </c>
      <c r="G217">
        <v>10</v>
      </c>
      <c r="H217">
        <f t="shared" si="7"/>
        <v>61.807446000000006</v>
      </c>
    </row>
    <row r="218" spans="1:8">
      <c r="A218" s="1" t="s">
        <v>36</v>
      </c>
      <c r="B218" s="1" t="s">
        <v>41</v>
      </c>
      <c r="C218" s="2" t="s">
        <v>4</v>
      </c>
      <c r="D218" s="5">
        <v>0.56016666666666703</v>
      </c>
      <c r="E218">
        <v>0.20327999999999999</v>
      </c>
      <c r="F218" s="5">
        <f t="shared" si="6"/>
        <v>0.35688666666666702</v>
      </c>
      <c r="G218">
        <v>10</v>
      </c>
      <c r="H218">
        <f t="shared" si="7"/>
        <v>50.851986000000046</v>
      </c>
    </row>
    <row r="219" spans="1:8">
      <c r="A219" s="1" t="s">
        <v>36</v>
      </c>
      <c r="B219" s="1" t="s">
        <v>41</v>
      </c>
      <c r="C219" s="2" t="s">
        <v>6</v>
      </c>
      <c r="D219" s="5">
        <v>0.54346666666666699</v>
      </c>
      <c r="E219">
        <v>0.20327999999999999</v>
      </c>
      <c r="F219" s="5">
        <f t="shared" si="6"/>
        <v>0.34018666666666697</v>
      </c>
      <c r="G219">
        <v>10</v>
      </c>
      <c r="H219">
        <f t="shared" si="7"/>
        <v>48.492276000000047</v>
      </c>
    </row>
    <row r="220" spans="1:8">
      <c r="A220" s="1" t="s">
        <v>36</v>
      </c>
      <c r="B220" s="1" t="s">
        <v>41</v>
      </c>
      <c r="C220" s="2" t="s">
        <v>7</v>
      </c>
      <c r="D220" s="5">
        <v>0.48866666666666703</v>
      </c>
      <c r="E220">
        <v>0.20327999999999999</v>
      </c>
      <c r="F220" s="5">
        <f t="shared" si="6"/>
        <v>0.28538666666666701</v>
      </c>
      <c r="G220">
        <v>10</v>
      </c>
      <c r="H220">
        <f t="shared" si="7"/>
        <v>40.749036000000046</v>
      </c>
    </row>
    <row r="221" spans="1:8">
      <c r="A221" s="1" t="s">
        <v>36</v>
      </c>
      <c r="B221" s="1" t="s">
        <v>41</v>
      </c>
      <c r="C221" s="2" t="s">
        <v>8</v>
      </c>
      <c r="D221" s="5">
        <v>0.65406666666666702</v>
      </c>
      <c r="E221">
        <v>0.20327999999999999</v>
      </c>
      <c r="F221" s="5">
        <f t="shared" si="6"/>
        <v>0.450786666666667</v>
      </c>
      <c r="G221">
        <v>10</v>
      </c>
      <c r="H221">
        <f t="shared" si="7"/>
        <v>64.120056000000048</v>
      </c>
    </row>
    <row r="222" spans="1:8">
      <c r="A222" s="1" t="s">
        <v>36</v>
      </c>
      <c r="B222" s="1" t="s">
        <v>41</v>
      </c>
      <c r="C222" s="2" t="s">
        <v>10</v>
      </c>
      <c r="D222" s="5">
        <v>0.52126666666666699</v>
      </c>
      <c r="E222">
        <v>0.20327999999999999</v>
      </c>
      <c r="F222" s="5">
        <f t="shared" si="6"/>
        <v>0.31798666666666697</v>
      </c>
      <c r="G222">
        <v>10</v>
      </c>
      <c r="H222">
        <f t="shared" si="7"/>
        <v>45.355416000000041</v>
      </c>
    </row>
    <row r="223" spans="1:8">
      <c r="A223" s="1" t="s">
        <v>36</v>
      </c>
      <c r="B223" s="1" t="s">
        <v>41</v>
      </c>
      <c r="C223" s="2" t="s">
        <v>11</v>
      </c>
      <c r="D223" s="5">
        <v>0.590766666666667</v>
      </c>
      <c r="E223">
        <v>0.20327999999999999</v>
      </c>
      <c r="F223" s="5">
        <f t="shared" si="6"/>
        <v>0.38748666666666698</v>
      </c>
      <c r="G223">
        <v>10</v>
      </c>
      <c r="H223">
        <f t="shared" si="7"/>
        <v>55.175766000000046</v>
      </c>
    </row>
    <row r="224" spans="1:8">
      <c r="A224" s="1" t="s">
        <v>36</v>
      </c>
      <c r="B224" s="1" t="s">
        <v>41</v>
      </c>
      <c r="C224" s="2" t="s">
        <v>12</v>
      </c>
      <c r="D224" s="5">
        <v>0.985866666666667</v>
      </c>
      <c r="E224">
        <v>0.20327999999999999</v>
      </c>
      <c r="F224" s="5">
        <f t="shared" si="6"/>
        <v>0.78258666666666699</v>
      </c>
      <c r="G224">
        <v>10</v>
      </c>
      <c r="H224">
        <f t="shared" si="7"/>
        <v>111.00339600000004</v>
      </c>
    </row>
    <row r="225" spans="1:8">
      <c r="A225" s="1" t="s">
        <v>36</v>
      </c>
      <c r="B225" s="1" t="s">
        <v>41</v>
      </c>
      <c r="C225" s="2" t="s">
        <v>14</v>
      </c>
      <c r="D225" s="5">
        <v>0.52546666666666697</v>
      </c>
      <c r="E225">
        <v>0.20327999999999999</v>
      </c>
      <c r="F225" s="5">
        <f t="shared" si="6"/>
        <v>0.32218666666666695</v>
      </c>
      <c r="G225">
        <v>10</v>
      </c>
      <c r="H225">
        <f t="shared" si="7"/>
        <v>45.948876000000034</v>
      </c>
    </row>
    <row r="226" spans="1:8">
      <c r="A226" s="1" t="s">
        <v>36</v>
      </c>
      <c r="B226" s="1" t="s">
        <v>41</v>
      </c>
      <c r="C226" s="2" t="s">
        <v>15</v>
      </c>
      <c r="D226" s="5">
        <v>0.77346666666666697</v>
      </c>
      <c r="E226">
        <v>0.20327999999999999</v>
      </c>
      <c r="F226" s="5">
        <f t="shared" si="6"/>
        <v>0.57018666666666695</v>
      </c>
      <c r="G226">
        <v>10</v>
      </c>
      <c r="H226">
        <f t="shared" si="7"/>
        <v>80.991276000000042</v>
      </c>
    </row>
    <row r="227" spans="1:8">
      <c r="A227" s="1" t="s">
        <v>36</v>
      </c>
      <c r="B227" s="1" t="s">
        <v>41</v>
      </c>
      <c r="C227" s="2" t="s">
        <v>16</v>
      </c>
      <c r="D227" s="5">
        <v>0.575566666666667</v>
      </c>
      <c r="E227">
        <v>0.20327999999999999</v>
      </c>
      <c r="F227" s="5">
        <f t="shared" si="6"/>
        <v>0.37228666666666699</v>
      </c>
      <c r="G227">
        <v>10</v>
      </c>
      <c r="H227">
        <f t="shared" si="7"/>
        <v>53.028006000000047</v>
      </c>
    </row>
    <row r="228" spans="1:8">
      <c r="A228" s="1" t="s">
        <v>36</v>
      </c>
      <c r="B228" s="1" t="s">
        <v>41</v>
      </c>
      <c r="C228" s="2" t="s">
        <v>18</v>
      </c>
      <c r="D228" s="5">
        <v>0.98366666666666702</v>
      </c>
      <c r="E228">
        <v>0.20327999999999999</v>
      </c>
      <c r="F228" s="5">
        <f t="shared" si="6"/>
        <v>0.78038666666666701</v>
      </c>
      <c r="G228">
        <v>10</v>
      </c>
      <c r="H228">
        <f t="shared" si="7"/>
        <v>110.69253600000003</v>
      </c>
    </row>
    <row r="229" spans="1:8">
      <c r="A229" s="1" t="s">
        <v>36</v>
      </c>
      <c r="B229" s="1" t="s">
        <v>41</v>
      </c>
      <c r="C229" s="2" t="s">
        <v>19</v>
      </c>
      <c r="D229" s="5">
        <v>0.55586666666666695</v>
      </c>
      <c r="E229">
        <v>0.20327999999999999</v>
      </c>
      <c r="F229" s="5">
        <f t="shared" si="6"/>
        <v>0.35258666666666694</v>
      </c>
      <c r="G229">
        <v>10</v>
      </c>
      <c r="H229">
        <f t="shared" si="7"/>
        <v>50.244396000000037</v>
      </c>
    </row>
    <row r="230" spans="1:8">
      <c r="A230" s="1" t="s">
        <v>36</v>
      </c>
      <c r="B230" s="1" t="s">
        <v>41</v>
      </c>
      <c r="C230" s="2" t="s">
        <v>20</v>
      </c>
      <c r="D230" s="5">
        <v>0.64596666666666702</v>
      </c>
      <c r="E230">
        <v>0.20327999999999999</v>
      </c>
      <c r="F230" s="5">
        <f t="shared" si="6"/>
        <v>0.44268666666666701</v>
      </c>
      <c r="G230">
        <v>10</v>
      </c>
      <c r="H230">
        <f t="shared" si="7"/>
        <v>62.975526000000045</v>
      </c>
    </row>
    <row r="231" spans="1:8">
      <c r="A231" s="1" t="s">
        <v>36</v>
      </c>
      <c r="B231" s="1" t="s">
        <v>41</v>
      </c>
      <c r="C231" s="2" t="s">
        <v>22</v>
      </c>
      <c r="D231" s="5">
        <v>0.75516666666666699</v>
      </c>
      <c r="E231">
        <v>0.20327999999999999</v>
      </c>
      <c r="F231" s="5">
        <f t="shared" si="6"/>
        <v>0.55188666666666697</v>
      </c>
      <c r="G231">
        <v>10</v>
      </c>
      <c r="H231">
        <f t="shared" si="7"/>
        <v>78.405486000000053</v>
      </c>
    </row>
    <row r="232" spans="1:8">
      <c r="A232" s="1" t="s">
        <v>36</v>
      </c>
      <c r="B232" s="1" t="s">
        <v>41</v>
      </c>
      <c r="C232" s="2" t="s">
        <v>23</v>
      </c>
      <c r="D232" s="5">
        <v>0.58776666666666699</v>
      </c>
      <c r="E232">
        <v>0.20327999999999999</v>
      </c>
      <c r="F232" s="5">
        <f t="shared" si="6"/>
        <v>0.38448666666666698</v>
      </c>
      <c r="G232">
        <v>10</v>
      </c>
      <c r="H232">
        <f t="shared" si="7"/>
        <v>54.751866000000049</v>
      </c>
    </row>
    <row r="233" spans="1:8">
      <c r="A233" s="1" t="s">
        <v>36</v>
      </c>
      <c r="B233" s="1" t="s">
        <v>41</v>
      </c>
      <c r="C233" s="2" t="s">
        <v>24</v>
      </c>
      <c r="D233" s="5">
        <v>0.63276666666666703</v>
      </c>
      <c r="E233">
        <v>0.20327999999999999</v>
      </c>
      <c r="F233" s="5">
        <f t="shared" si="6"/>
        <v>0.42948666666666702</v>
      </c>
      <c r="G233">
        <v>10</v>
      </c>
      <c r="H233">
        <f t="shared" si="7"/>
        <v>61.110366000000056</v>
      </c>
    </row>
    <row r="234" spans="1:8">
      <c r="A234" s="1" t="s">
        <v>36</v>
      </c>
      <c r="B234" s="1" t="s">
        <v>41</v>
      </c>
      <c r="C234" s="2" t="s">
        <v>26</v>
      </c>
      <c r="D234" s="5">
        <v>0.57566666666666699</v>
      </c>
      <c r="E234">
        <v>0.20327999999999999</v>
      </c>
      <c r="F234" s="5">
        <f t="shared" si="6"/>
        <v>0.37238666666666698</v>
      </c>
      <c r="G234">
        <v>10</v>
      </c>
      <c r="H234">
        <f t="shared" si="7"/>
        <v>53.042136000000049</v>
      </c>
    </row>
    <row r="235" spans="1:8">
      <c r="A235" s="1" t="s">
        <v>36</v>
      </c>
      <c r="B235" s="1" t="s">
        <v>41</v>
      </c>
      <c r="C235" s="2" t="s">
        <v>27</v>
      </c>
      <c r="D235" s="5">
        <v>0.64026666666666698</v>
      </c>
      <c r="E235">
        <v>0.20327999999999999</v>
      </c>
      <c r="F235" s="5">
        <f t="shared" si="6"/>
        <v>0.43698666666666697</v>
      </c>
      <c r="G235">
        <v>10</v>
      </c>
      <c r="H235">
        <f t="shared" si="7"/>
        <v>62.170116000000043</v>
      </c>
    </row>
    <row r="236" spans="1:8">
      <c r="A236" s="1" t="s">
        <v>36</v>
      </c>
      <c r="B236" s="1" t="s">
        <v>42</v>
      </c>
      <c r="C236" s="2" t="s">
        <v>4</v>
      </c>
      <c r="D236" s="5">
        <v>0.63343333333333296</v>
      </c>
      <c r="E236">
        <v>0.20327999999999999</v>
      </c>
      <c r="F236" s="5">
        <f t="shared" si="6"/>
        <v>0.43015333333333294</v>
      </c>
      <c r="G236">
        <v>10</v>
      </c>
      <c r="H236">
        <f t="shared" si="7"/>
        <v>61.20456599999995</v>
      </c>
    </row>
    <row r="237" spans="1:8">
      <c r="A237" s="1" t="s">
        <v>36</v>
      </c>
      <c r="B237" s="1" t="s">
        <v>42</v>
      </c>
      <c r="C237" s="2" t="s">
        <v>6</v>
      </c>
      <c r="D237" s="5">
        <v>0.85933333333333295</v>
      </c>
      <c r="E237">
        <v>0.20327999999999999</v>
      </c>
      <c r="F237" s="5">
        <f t="shared" si="6"/>
        <v>0.65605333333333293</v>
      </c>
      <c r="G237">
        <v>10</v>
      </c>
      <c r="H237">
        <f t="shared" si="7"/>
        <v>93.124235999999954</v>
      </c>
    </row>
    <row r="238" spans="1:8">
      <c r="A238" s="1" t="s">
        <v>36</v>
      </c>
      <c r="B238" s="1" t="s">
        <v>42</v>
      </c>
      <c r="C238" s="2" t="s">
        <v>7</v>
      </c>
      <c r="D238" s="5">
        <v>0.73243333333333305</v>
      </c>
      <c r="E238">
        <v>0.20327999999999999</v>
      </c>
      <c r="F238" s="5">
        <f t="shared" si="6"/>
        <v>0.52915333333333303</v>
      </c>
      <c r="G238">
        <v>10</v>
      </c>
      <c r="H238">
        <f t="shared" si="7"/>
        <v>75.193265999999966</v>
      </c>
    </row>
    <row r="239" spans="1:8">
      <c r="A239" s="1" t="s">
        <v>36</v>
      </c>
      <c r="B239" s="1" t="s">
        <v>42</v>
      </c>
      <c r="C239" s="2" t="s">
        <v>8</v>
      </c>
      <c r="D239" s="5">
        <v>0.68823333333333303</v>
      </c>
      <c r="E239">
        <v>0.20327999999999999</v>
      </c>
      <c r="F239" s="5">
        <f t="shared" si="6"/>
        <v>0.48495333333333301</v>
      </c>
      <c r="G239">
        <v>10</v>
      </c>
      <c r="H239">
        <f t="shared" si="7"/>
        <v>68.947805999999957</v>
      </c>
    </row>
    <row r="240" spans="1:8">
      <c r="A240" s="1" t="s">
        <v>36</v>
      </c>
      <c r="B240" s="1" t="s">
        <v>42</v>
      </c>
      <c r="C240" s="2" t="s">
        <v>10</v>
      </c>
      <c r="D240" s="5">
        <v>0.72353333333333303</v>
      </c>
      <c r="E240">
        <v>0.20327999999999999</v>
      </c>
      <c r="F240" s="5">
        <f t="shared" si="6"/>
        <v>0.52025333333333301</v>
      </c>
      <c r="G240">
        <v>10</v>
      </c>
      <c r="H240">
        <f t="shared" si="7"/>
        <v>73.93569599999995</v>
      </c>
    </row>
    <row r="241" spans="1:8">
      <c r="A241" s="1" t="s">
        <v>36</v>
      </c>
      <c r="B241" s="1" t="s">
        <v>42</v>
      </c>
      <c r="C241" s="2" t="s">
        <v>11</v>
      </c>
      <c r="D241" s="5">
        <v>0.77353333333333296</v>
      </c>
      <c r="E241">
        <v>0.20327999999999999</v>
      </c>
      <c r="F241" s="5">
        <f t="shared" si="6"/>
        <v>0.57025333333333295</v>
      </c>
      <c r="G241">
        <v>10</v>
      </c>
      <c r="H241">
        <f t="shared" si="7"/>
        <v>81.000695999999948</v>
      </c>
    </row>
    <row r="242" spans="1:8">
      <c r="A242" s="1" t="s">
        <v>36</v>
      </c>
      <c r="B242" s="1" t="s">
        <v>42</v>
      </c>
      <c r="C242" s="2" t="s">
        <v>12</v>
      </c>
      <c r="D242" s="5">
        <v>0.74993333333333301</v>
      </c>
      <c r="E242">
        <v>0.20327999999999999</v>
      </c>
      <c r="F242" s="5">
        <f t="shared" si="6"/>
        <v>0.54665333333333299</v>
      </c>
      <c r="G242">
        <v>10</v>
      </c>
      <c r="H242">
        <f t="shared" si="7"/>
        <v>77.666015999999956</v>
      </c>
    </row>
    <row r="243" spans="1:8">
      <c r="A243" s="1" t="s">
        <v>36</v>
      </c>
      <c r="B243" s="1" t="s">
        <v>42</v>
      </c>
      <c r="C243" s="2" t="s">
        <v>14</v>
      </c>
      <c r="D243" s="5">
        <v>0.83663333333333301</v>
      </c>
      <c r="E243">
        <v>0.20327999999999999</v>
      </c>
      <c r="F243" s="5">
        <f t="shared" si="6"/>
        <v>0.63335333333333299</v>
      </c>
      <c r="G243">
        <v>10</v>
      </c>
      <c r="H243">
        <f t="shared" si="7"/>
        <v>89.916725999999954</v>
      </c>
    </row>
    <row r="244" spans="1:8">
      <c r="A244" s="1" t="s">
        <v>36</v>
      </c>
      <c r="B244" s="1" t="s">
        <v>42</v>
      </c>
      <c r="C244" s="2" t="s">
        <v>15</v>
      </c>
      <c r="D244" s="5">
        <v>0.67963333333333298</v>
      </c>
      <c r="E244">
        <v>0.20327999999999999</v>
      </c>
      <c r="F244" s="5">
        <f t="shared" si="6"/>
        <v>0.47635333333333296</v>
      </c>
      <c r="G244">
        <v>10</v>
      </c>
      <c r="H244">
        <f t="shared" si="7"/>
        <v>67.732625999999954</v>
      </c>
    </row>
    <row r="245" spans="1:8">
      <c r="A245" s="1" t="s">
        <v>36</v>
      </c>
      <c r="B245" s="1" t="s">
        <v>42</v>
      </c>
      <c r="C245" s="2" t="s">
        <v>16</v>
      </c>
      <c r="D245" s="5">
        <v>0.76023333333333298</v>
      </c>
      <c r="E245">
        <v>0.20327999999999999</v>
      </c>
      <c r="F245" s="5">
        <f t="shared" si="6"/>
        <v>0.55695333333333297</v>
      </c>
      <c r="G245">
        <v>10</v>
      </c>
      <c r="H245">
        <f t="shared" si="7"/>
        <v>79.121405999999951</v>
      </c>
    </row>
    <row r="246" spans="1:8">
      <c r="A246" s="1" t="s">
        <v>36</v>
      </c>
      <c r="B246" s="1" t="s">
        <v>42</v>
      </c>
      <c r="C246" s="2" t="s">
        <v>18</v>
      </c>
      <c r="D246" s="5">
        <v>0.806433333333333</v>
      </c>
      <c r="E246">
        <v>0.20327999999999999</v>
      </c>
      <c r="F246" s="5">
        <f t="shared" si="6"/>
        <v>0.60315333333333299</v>
      </c>
      <c r="G246">
        <v>10</v>
      </c>
      <c r="H246">
        <f t="shared" si="7"/>
        <v>85.649465999999947</v>
      </c>
    </row>
    <row r="247" spans="1:8">
      <c r="A247" s="1" t="s">
        <v>36</v>
      </c>
      <c r="B247" s="1" t="s">
        <v>42</v>
      </c>
      <c r="C247" s="2" t="s">
        <v>19</v>
      </c>
      <c r="D247" s="5">
        <v>0.744933333333333</v>
      </c>
      <c r="E247">
        <v>0.20327999999999999</v>
      </c>
      <c r="F247" s="5">
        <f t="shared" si="6"/>
        <v>0.54165333333333299</v>
      </c>
      <c r="G247">
        <v>10</v>
      </c>
      <c r="H247">
        <f t="shared" si="7"/>
        <v>76.959515999999951</v>
      </c>
    </row>
    <row r="248" spans="1:8">
      <c r="A248" s="1" t="s">
        <v>36</v>
      </c>
      <c r="B248" s="1" t="s">
        <v>42</v>
      </c>
      <c r="C248" s="2" t="s">
        <v>20</v>
      </c>
      <c r="D248" s="5">
        <v>0.82023333333333304</v>
      </c>
      <c r="E248">
        <v>0.20327999999999999</v>
      </c>
      <c r="F248" s="5">
        <f t="shared" si="6"/>
        <v>0.61695333333333302</v>
      </c>
      <c r="G248">
        <v>10</v>
      </c>
      <c r="H248">
        <f t="shared" si="7"/>
        <v>87.599405999999959</v>
      </c>
    </row>
    <row r="249" spans="1:8">
      <c r="A249" s="1" t="s">
        <v>36</v>
      </c>
      <c r="B249" s="1" t="s">
        <v>42</v>
      </c>
      <c r="C249" s="2" t="s">
        <v>22</v>
      </c>
      <c r="D249" s="5">
        <v>0.816533333333333</v>
      </c>
      <c r="E249">
        <v>0.20327999999999999</v>
      </c>
      <c r="F249" s="5">
        <f t="shared" si="6"/>
        <v>0.61325333333333298</v>
      </c>
      <c r="G249">
        <v>10</v>
      </c>
      <c r="H249">
        <f t="shared" si="7"/>
        <v>87.076595999999952</v>
      </c>
    </row>
    <row r="250" spans="1:8">
      <c r="A250" s="1" t="s">
        <v>36</v>
      </c>
      <c r="B250" s="1" t="s">
        <v>42</v>
      </c>
      <c r="C250" s="2" t="s">
        <v>23</v>
      </c>
      <c r="D250" s="5">
        <v>0.77793333333333303</v>
      </c>
      <c r="E250">
        <v>0.20327999999999999</v>
      </c>
      <c r="F250" s="5">
        <f t="shared" si="6"/>
        <v>0.57465333333333302</v>
      </c>
      <c r="G250">
        <v>10</v>
      </c>
      <c r="H250">
        <f t="shared" si="7"/>
        <v>81.622415999999959</v>
      </c>
    </row>
    <row r="251" spans="1:8">
      <c r="A251" s="1" t="s">
        <v>36</v>
      </c>
      <c r="B251" s="1" t="s">
        <v>42</v>
      </c>
      <c r="C251" s="2" t="s">
        <v>24</v>
      </c>
      <c r="D251" s="5">
        <v>0.75823333333333298</v>
      </c>
      <c r="E251">
        <v>0.20327999999999999</v>
      </c>
      <c r="F251" s="5">
        <f t="shared" si="6"/>
        <v>0.55495333333333297</v>
      </c>
      <c r="G251">
        <v>10</v>
      </c>
      <c r="H251">
        <f t="shared" si="7"/>
        <v>78.838805999999948</v>
      </c>
    </row>
    <row r="252" spans="1:8">
      <c r="A252" s="1" t="s">
        <v>36</v>
      </c>
      <c r="B252" s="1" t="s">
        <v>42</v>
      </c>
      <c r="C252" s="2" t="s">
        <v>26</v>
      </c>
      <c r="D252" s="5">
        <v>0.67413333333333303</v>
      </c>
      <c r="E252">
        <v>0.20327999999999999</v>
      </c>
      <c r="F252" s="5">
        <f t="shared" si="6"/>
        <v>0.47085333333333301</v>
      </c>
      <c r="G252">
        <v>10</v>
      </c>
      <c r="H252">
        <f t="shared" si="7"/>
        <v>66.955475999999962</v>
      </c>
    </row>
    <row r="253" spans="1:8">
      <c r="A253" s="1" t="s">
        <v>36</v>
      </c>
      <c r="B253" s="1" t="s">
        <v>42</v>
      </c>
      <c r="C253" s="2" t="s">
        <v>27</v>
      </c>
      <c r="D253" s="5">
        <v>0.70783333333333298</v>
      </c>
      <c r="E253">
        <v>0.20327999999999999</v>
      </c>
      <c r="F253" s="5">
        <f t="shared" si="6"/>
        <v>0.50455333333333297</v>
      </c>
      <c r="G253">
        <v>10</v>
      </c>
      <c r="H253">
        <f t="shared" si="7"/>
        <v>71.717285999999945</v>
      </c>
    </row>
    <row r="254" spans="1:8">
      <c r="A254" s="1" t="s">
        <v>36</v>
      </c>
      <c r="B254" s="1" t="s">
        <v>43</v>
      </c>
      <c r="C254" s="2" t="s">
        <v>4</v>
      </c>
      <c r="D254" s="5">
        <v>0.86911666666666698</v>
      </c>
      <c r="E254">
        <v>0.20327999999999999</v>
      </c>
      <c r="F254" s="5">
        <f t="shared" si="6"/>
        <v>0.66583666666666697</v>
      </c>
      <c r="G254">
        <v>10</v>
      </c>
      <c r="H254">
        <f t="shared" si="7"/>
        <v>94.506621000000052</v>
      </c>
    </row>
    <row r="255" spans="1:8">
      <c r="A255" s="1" t="s">
        <v>36</v>
      </c>
      <c r="B255" s="1" t="s">
        <v>43</v>
      </c>
      <c r="C255" s="2" t="s">
        <v>6</v>
      </c>
      <c r="D255" s="5">
        <v>0.70271666666666699</v>
      </c>
      <c r="E255">
        <v>0.20327999999999999</v>
      </c>
      <c r="F255" s="5">
        <f t="shared" si="6"/>
        <v>0.49943666666666697</v>
      </c>
      <c r="G255">
        <v>10</v>
      </c>
      <c r="H255">
        <f t="shared" si="7"/>
        <v>70.99430100000005</v>
      </c>
    </row>
    <row r="256" spans="1:8">
      <c r="A256" s="1" t="s">
        <v>36</v>
      </c>
      <c r="B256" s="1" t="s">
        <v>43</v>
      </c>
      <c r="C256" s="2" t="s">
        <v>7</v>
      </c>
      <c r="D256" s="5">
        <v>0.79001666666666703</v>
      </c>
      <c r="E256">
        <v>0.20327999999999999</v>
      </c>
      <c r="F256" s="5">
        <f t="shared" si="6"/>
        <v>0.58673666666666702</v>
      </c>
      <c r="G256">
        <v>10</v>
      </c>
      <c r="H256">
        <f t="shared" si="7"/>
        <v>83.329791000000057</v>
      </c>
    </row>
    <row r="257" spans="1:8">
      <c r="A257" s="1" t="s">
        <v>36</v>
      </c>
      <c r="B257" s="1" t="s">
        <v>43</v>
      </c>
      <c r="C257" s="2" t="s">
        <v>8</v>
      </c>
      <c r="D257" s="5">
        <v>0.487416666666667</v>
      </c>
      <c r="E257">
        <v>0.20327999999999999</v>
      </c>
      <c r="F257" s="5">
        <f t="shared" si="6"/>
        <v>0.28413666666666704</v>
      </c>
      <c r="G257">
        <v>10</v>
      </c>
      <c r="H257">
        <f t="shared" si="7"/>
        <v>40.572411000000059</v>
      </c>
    </row>
    <row r="258" spans="1:8">
      <c r="A258" s="1" t="s">
        <v>36</v>
      </c>
      <c r="B258" s="1" t="s">
        <v>43</v>
      </c>
      <c r="C258" s="2" t="s">
        <v>10</v>
      </c>
      <c r="D258" s="5">
        <v>0.71661666666666701</v>
      </c>
      <c r="E258">
        <v>0.20327999999999999</v>
      </c>
      <c r="F258" s="5">
        <f t="shared" si="6"/>
        <v>0.513336666666667</v>
      </c>
      <c r="G258">
        <v>10</v>
      </c>
      <c r="H258">
        <f t="shared" si="7"/>
        <v>72.958371000000042</v>
      </c>
    </row>
    <row r="259" spans="1:8">
      <c r="A259" s="1" t="s">
        <v>36</v>
      </c>
      <c r="B259" s="1" t="s">
        <v>43</v>
      </c>
      <c r="C259" s="2" t="s">
        <v>11</v>
      </c>
      <c r="D259" s="5">
        <v>0.68571666666666697</v>
      </c>
      <c r="E259">
        <v>0.20327999999999999</v>
      </c>
      <c r="F259" s="5">
        <f t="shared" ref="F259:F289" si="8">D259-E259</f>
        <v>0.48243666666666696</v>
      </c>
      <c r="G259">
        <v>10</v>
      </c>
      <c r="H259">
        <f t="shared" ref="H259:H289" si="9">0.1413*(F259+0.003)*G259/0.01</f>
        <v>68.592201000000045</v>
      </c>
    </row>
    <row r="260" spans="1:8">
      <c r="A260" s="1" t="s">
        <v>36</v>
      </c>
      <c r="B260" s="1" t="s">
        <v>43</v>
      </c>
      <c r="C260" s="2" t="s">
        <v>12</v>
      </c>
      <c r="D260" s="5">
        <v>0.43571666666666697</v>
      </c>
      <c r="E260">
        <v>0.20327999999999999</v>
      </c>
      <c r="F260" s="5">
        <f t="shared" si="8"/>
        <v>0.23243666666666699</v>
      </c>
      <c r="G260">
        <v>10</v>
      </c>
      <c r="H260">
        <f t="shared" si="9"/>
        <v>33.267201000000043</v>
      </c>
    </row>
    <row r="261" spans="1:8">
      <c r="A261" s="1" t="s">
        <v>36</v>
      </c>
      <c r="B261" s="1" t="s">
        <v>43</v>
      </c>
      <c r="C261" s="2" t="s">
        <v>14</v>
      </c>
      <c r="D261" s="5">
        <v>0.69771666666666698</v>
      </c>
      <c r="E261">
        <v>0.20327999999999999</v>
      </c>
      <c r="F261" s="5">
        <f t="shared" si="8"/>
        <v>0.49443666666666697</v>
      </c>
      <c r="G261">
        <v>10</v>
      </c>
      <c r="H261">
        <f t="shared" si="9"/>
        <v>70.287801000000044</v>
      </c>
    </row>
    <row r="262" spans="1:8">
      <c r="A262" s="1" t="s">
        <v>36</v>
      </c>
      <c r="B262" s="1" t="s">
        <v>43</v>
      </c>
      <c r="C262" s="2" t="s">
        <v>15</v>
      </c>
      <c r="D262" s="5">
        <v>0.78181666666666705</v>
      </c>
      <c r="E262">
        <v>0.20327999999999999</v>
      </c>
      <c r="F262" s="5">
        <f t="shared" si="8"/>
        <v>0.57853666666666703</v>
      </c>
      <c r="G262">
        <v>10</v>
      </c>
      <c r="H262">
        <f t="shared" si="9"/>
        <v>82.171131000000059</v>
      </c>
    </row>
    <row r="263" spans="1:8">
      <c r="A263" s="1" t="s">
        <v>36</v>
      </c>
      <c r="B263" s="1" t="s">
        <v>43</v>
      </c>
      <c r="C263" s="2" t="s">
        <v>16</v>
      </c>
      <c r="D263" s="5">
        <v>0.92801666666666704</v>
      </c>
      <c r="E263">
        <v>0.20327999999999999</v>
      </c>
      <c r="F263" s="5">
        <f t="shared" si="8"/>
        <v>0.72473666666666703</v>
      </c>
      <c r="G263">
        <v>10</v>
      </c>
      <c r="H263">
        <f t="shared" si="9"/>
        <v>102.82919100000005</v>
      </c>
    </row>
    <row r="264" spans="1:8">
      <c r="A264" s="1" t="s">
        <v>36</v>
      </c>
      <c r="B264" s="1" t="s">
        <v>43</v>
      </c>
      <c r="C264" s="2" t="s">
        <v>18</v>
      </c>
      <c r="D264" s="5">
        <v>0.801416666666667</v>
      </c>
      <c r="E264">
        <v>0.20327999999999999</v>
      </c>
      <c r="F264" s="5">
        <f t="shared" si="8"/>
        <v>0.59813666666666698</v>
      </c>
      <c r="G264">
        <v>10</v>
      </c>
      <c r="H264">
        <f t="shared" si="9"/>
        <v>84.940611000000047</v>
      </c>
    </row>
    <row r="265" spans="1:8">
      <c r="A265" s="1" t="s">
        <v>36</v>
      </c>
      <c r="B265" s="1" t="s">
        <v>43</v>
      </c>
      <c r="C265" s="2" t="s">
        <v>19</v>
      </c>
      <c r="D265" s="5">
        <v>0.60231666666666706</v>
      </c>
      <c r="E265">
        <v>0.20327999999999999</v>
      </c>
      <c r="F265" s="5">
        <f t="shared" si="8"/>
        <v>0.39903666666666704</v>
      </c>
      <c r="G265">
        <v>10</v>
      </c>
      <c r="H265">
        <f t="shared" si="9"/>
        <v>56.807781000000055</v>
      </c>
    </row>
    <row r="266" spans="1:8">
      <c r="A266" s="1" t="s">
        <v>36</v>
      </c>
      <c r="B266" s="1" t="s">
        <v>43</v>
      </c>
      <c r="C266" s="2" t="s">
        <v>20</v>
      </c>
      <c r="D266" s="5">
        <v>0.75411666666666699</v>
      </c>
      <c r="E266">
        <v>0.20327999999999999</v>
      </c>
      <c r="F266" s="5">
        <f t="shared" si="8"/>
        <v>0.55083666666666697</v>
      </c>
      <c r="G266">
        <v>10</v>
      </c>
      <c r="H266">
        <f t="shared" si="9"/>
        <v>78.257121000000055</v>
      </c>
    </row>
    <row r="267" spans="1:8">
      <c r="A267" s="1" t="s">
        <v>36</v>
      </c>
      <c r="B267" s="1" t="s">
        <v>43</v>
      </c>
      <c r="C267" s="2" t="s">
        <v>22</v>
      </c>
      <c r="D267" s="5">
        <v>0.74241666666666695</v>
      </c>
      <c r="E267">
        <v>0.20327999999999999</v>
      </c>
      <c r="F267" s="5">
        <f t="shared" si="8"/>
        <v>0.53913666666666693</v>
      </c>
      <c r="G267">
        <v>10</v>
      </c>
      <c r="H267">
        <f t="shared" si="9"/>
        <v>76.603911000000039</v>
      </c>
    </row>
    <row r="268" spans="1:8">
      <c r="A268" s="1" t="s">
        <v>36</v>
      </c>
      <c r="B268" s="1" t="s">
        <v>43</v>
      </c>
      <c r="C268" s="2" t="s">
        <v>23</v>
      </c>
      <c r="D268" s="5">
        <v>0.93621666666666703</v>
      </c>
      <c r="E268">
        <v>0.20327999999999999</v>
      </c>
      <c r="F268" s="5">
        <f t="shared" si="8"/>
        <v>0.73293666666666701</v>
      </c>
      <c r="G268">
        <v>10</v>
      </c>
      <c r="H268">
        <f t="shared" si="9"/>
        <v>103.98785100000005</v>
      </c>
    </row>
    <row r="269" spans="1:8">
      <c r="A269" s="1" t="s">
        <v>36</v>
      </c>
      <c r="B269" s="1" t="s">
        <v>43</v>
      </c>
      <c r="C269" s="2" t="s">
        <v>24</v>
      </c>
      <c r="D269" s="5">
        <v>0.84141666666666703</v>
      </c>
      <c r="E269">
        <v>0.20327999999999999</v>
      </c>
      <c r="F269" s="5">
        <f t="shared" si="8"/>
        <v>0.63813666666666702</v>
      </c>
      <c r="G269">
        <v>10</v>
      </c>
      <c r="H269">
        <f t="shared" si="9"/>
        <v>90.592611000000048</v>
      </c>
    </row>
    <row r="270" spans="1:8">
      <c r="A270" s="1" t="s">
        <v>36</v>
      </c>
      <c r="B270" s="1" t="s">
        <v>43</v>
      </c>
      <c r="C270" s="2" t="s">
        <v>26</v>
      </c>
      <c r="D270" s="5">
        <v>0.63651666666666695</v>
      </c>
      <c r="E270">
        <v>0.20327999999999999</v>
      </c>
      <c r="F270" s="5">
        <f t="shared" si="8"/>
        <v>0.43323666666666694</v>
      </c>
      <c r="G270">
        <v>10</v>
      </c>
      <c r="H270">
        <f t="shared" si="9"/>
        <v>61.640241000000039</v>
      </c>
    </row>
    <row r="271" spans="1:8">
      <c r="A271" s="1" t="s">
        <v>36</v>
      </c>
      <c r="B271" s="1" t="s">
        <v>43</v>
      </c>
      <c r="C271" s="2" t="s">
        <v>27</v>
      </c>
      <c r="D271" s="5">
        <v>0.835716666666667</v>
      </c>
      <c r="E271">
        <v>0.20327999999999999</v>
      </c>
      <c r="F271" s="5">
        <f t="shared" si="8"/>
        <v>0.63243666666666698</v>
      </c>
      <c r="G271">
        <v>10</v>
      </c>
      <c r="H271">
        <f t="shared" si="9"/>
        <v>89.787201000000053</v>
      </c>
    </row>
    <row r="272" spans="1:8">
      <c r="A272" s="1" t="s">
        <v>36</v>
      </c>
      <c r="B272" s="1" t="s">
        <v>44</v>
      </c>
      <c r="C272" s="2" t="s">
        <v>4</v>
      </c>
      <c r="D272" s="5">
        <v>0.72350000000000003</v>
      </c>
      <c r="E272">
        <v>0.20327999999999999</v>
      </c>
      <c r="F272" s="5">
        <f t="shared" si="8"/>
        <v>0.52022000000000002</v>
      </c>
      <c r="G272">
        <v>10</v>
      </c>
      <c r="H272">
        <f t="shared" si="9"/>
        <v>73.930986000000004</v>
      </c>
    </row>
    <row r="273" spans="1:8">
      <c r="A273" s="1" t="s">
        <v>36</v>
      </c>
      <c r="B273" s="1" t="s">
        <v>44</v>
      </c>
      <c r="C273" s="2" t="s">
        <v>6</v>
      </c>
      <c r="D273" s="5">
        <v>0.62719999999999998</v>
      </c>
      <c r="E273">
        <v>0.20327999999999999</v>
      </c>
      <c r="F273" s="5">
        <f t="shared" si="8"/>
        <v>0.42391999999999996</v>
      </c>
      <c r="G273">
        <v>10</v>
      </c>
      <c r="H273">
        <f t="shared" si="9"/>
        <v>60.323795999999994</v>
      </c>
    </row>
    <row r="274" spans="1:8">
      <c r="A274" s="1" t="s">
        <v>36</v>
      </c>
      <c r="B274" s="1" t="s">
        <v>44</v>
      </c>
      <c r="C274" s="2" t="s">
        <v>7</v>
      </c>
      <c r="D274" s="5">
        <v>0.82240000000000002</v>
      </c>
      <c r="E274">
        <v>0.20327999999999999</v>
      </c>
      <c r="F274" s="5">
        <f t="shared" si="8"/>
        <v>0.61912</v>
      </c>
      <c r="G274">
        <v>10</v>
      </c>
      <c r="H274">
        <f t="shared" si="9"/>
        <v>87.905556000000004</v>
      </c>
    </row>
    <row r="275" spans="1:8">
      <c r="A275" s="1" t="s">
        <v>36</v>
      </c>
      <c r="B275" s="1" t="s">
        <v>44</v>
      </c>
      <c r="C275" s="2" t="s">
        <v>8</v>
      </c>
      <c r="D275" s="5">
        <v>1.0605</v>
      </c>
      <c r="E275">
        <v>0.20327999999999999</v>
      </c>
      <c r="F275" s="5">
        <f t="shared" si="8"/>
        <v>0.85721999999999998</v>
      </c>
      <c r="G275">
        <v>10</v>
      </c>
      <c r="H275">
        <f t="shared" si="9"/>
        <v>121.549086</v>
      </c>
    </row>
    <row r="276" spans="1:8">
      <c r="A276" s="1" t="s">
        <v>36</v>
      </c>
      <c r="B276" s="1" t="s">
        <v>44</v>
      </c>
      <c r="C276" s="2" t="s">
        <v>10</v>
      </c>
      <c r="D276" s="5">
        <v>0.66500000000000004</v>
      </c>
      <c r="E276">
        <v>0.20327999999999999</v>
      </c>
      <c r="F276" s="5">
        <f t="shared" si="8"/>
        <v>0.46172000000000002</v>
      </c>
      <c r="G276">
        <v>10</v>
      </c>
      <c r="H276">
        <f t="shared" si="9"/>
        <v>65.664936000000012</v>
      </c>
    </row>
    <row r="277" spans="1:8">
      <c r="A277" s="1" t="s">
        <v>36</v>
      </c>
      <c r="B277" s="1" t="s">
        <v>44</v>
      </c>
      <c r="C277" s="2" t="s">
        <v>11</v>
      </c>
      <c r="D277" s="5">
        <v>0.8327</v>
      </c>
      <c r="E277">
        <v>0.20327999999999999</v>
      </c>
      <c r="F277" s="5">
        <f t="shared" si="8"/>
        <v>0.62941999999999998</v>
      </c>
      <c r="G277">
        <v>10</v>
      </c>
      <c r="H277">
        <f t="shared" si="9"/>
        <v>89.360945999999998</v>
      </c>
    </row>
    <row r="278" spans="1:8">
      <c r="A278" s="1" t="s">
        <v>36</v>
      </c>
      <c r="B278" s="1" t="s">
        <v>44</v>
      </c>
      <c r="C278" s="2" t="s">
        <v>12</v>
      </c>
      <c r="D278" s="5">
        <v>0.68820000000000003</v>
      </c>
      <c r="E278">
        <v>0.20327999999999999</v>
      </c>
      <c r="F278" s="5">
        <f t="shared" si="8"/>
        <v>0.48492000000000002</v>
      </c>
      <c r="G278">
        <v>10</v>
      </c>
      <c r="H278">
        <f t="shared" si="9"/>
        <v>68.943096000000011</v>
      </c>
    </row>
    <row r="279" spans="1:8">
      <c r="A279" s="1" t="s">
        <v>36</v>
      </c>
      <c r="B279" s="1" t="s">
        <v>44</v>
      </c>
      <c r="C279" s="2" t="s">
        <v>14</v>
      </c>
      <c r="D279" s="5">
        <v>0.66</v>
      </c>
      <c r="E279">
        <v>0.20327999999999999</v>
      </c>
      <c r="F279" s="5">
        <f t="shared" si="8"/>
        <v>0.45672000000000001</v>
      </c>
      <c r="G279">
        <v>10</v>
      </c>
      <c r="H279">
        <f t="shared" si="9"/>
        <v>64.958436000000006</v>
      </c>
    </row>
    <row r="280" spans="1:8">
      <c r="A280" s="1" t="s">
        <v>36</v>
      </c>
      <c r="B280" s="1" t="s">
        <v>44</v>
      </c>
      <c r="C280" s="2" t="s">
        <v>15</v>
      </c>
      <c r="D280" s="5">
        <v>0.64739999999999998</v>
      </c>
      <c r="E280">
        <v>0.20327999999999999</v>
      </c>
      <c r="F280" s="5">
        <f t="shared" si="8"/>
        <v>0.44411999999999996</v>
      </c>
      <c r="G280">
        <v>10</v>
      </c>
      <c r="H280">
        <f t="shared" si="9"/>
        <v>63.178055999999991</v>
      </c>
    </row>
    <row r="281" spans="1:8">
      <c r="A281" s="1" t="s">
        <v>36</v>
      </c>
      <c r="B281" s="1" t="s">
        <v>44</v>
      </c>
      <c r="C281" s="2" t="s">
        <v>16</v>
      </c>
      <c r="D281" s="5">
        <v>0.73380000000000001</v>
      </c>
      <c r="E281">
        <v>0.20327999999999999</v>
      </c>
      <c r="F281" s="5">
        <f t="shared" si="8"/>
        <v>0.53051999999999999</v>
      </c>
      <c r="G281">
        <v>10</v>
      </c>
      <c r="H281">
        <f t="shared" si="9"/>
        <v>75.386375999999998</v>
      </c>
    </row>
    <row r="282" spans="1:8">
      <c r="A282" s="1" t="s">
        <v>36</v>
      </c>
      <c r="B282" s="1" t="s">
        <v>44</v>
      </c>
      <c r="C282" s="2" t="s">
        <v>18</v>
      </c>
      <c r="D282" s="5">
        <v>0.72829999999999995</v>
      </c>
      <c r="E282">
        <v>0.20327999999999999</v>
      </c>
      <c r="F282" s="5">
        <f t="shared" si="8"/>
        <v>0.52501999999999993</v>
      </c>
      <c r="G282">
        <v>10</v>
      </c>
      <c r="H282">
        <f t="shared" si="9"/>
        <v>74.609225999999992</v>
      </c>
    </row>
    <row r="283" spans="1:8">
      <c r="A283" s="1" t="s">
        <v>36</v>
      </c>
      <c r="B283" s="1" t="s">
        <v>44</v>
      </c>
      <c r="C283" s="2" t="s">
        <v>19</v>
      </c>
      <c r="D283" s="5">
        <v>0.63149999999999995</v>
      </c>
      <c r="E283">
        <v>0.20327999999999999</v>
      </c>
      <c r="F283" s="5">
        <f t="shared" si="8"/>
        <v>0.42821999999999993</v>
      </c>
      <c r="G283">
        <v>10</v>
      </c>
      <c r="H283">
        <f t="shared" si="9"/>
        <v>60.931385999999996</v>
      </c>
    </row>
    <row r="284" spans="1:8">
      <c r="A284" s="1" t="s">
        <v>36</v>
      </c>
      <c r="B284" s="1" t="s">
        <v>44</v>
      </c>
      <c r="C284" s="2" t="s">
        <v>20</v>
      </c>
      <c r="D284" s="5">
        <v>0.94679999999999997</v>
      </c>
      <c r="E284">
        <v>0.20327999999999999</v>
      </c>
      <c r="F284" s="5">
        <f t="shared" si="8"/>
        <v>0.74351999999999996</v>
      </c>
      <c r="G284">
        <v>10</v>
      </c>
      <c r="H284">
        <f t="shared" si="9"/>
        <v>105.483276</v>
      </c>
    </row>
    <row r="285" spans="1:8">
      <c r="A285" s="1" t="s">
        <v>36</v>
      </c>
      <c r="B285" s="1" t="s">
        <v>44</v>
      </c>
      <c r="C285" s="2" t="s">
        <v>22</v>
      </c>
      <c r="D285" s="5">
        <v>0.71179999999999999</v>
      </c>
      <c r="E285">
        <v>0.20327999999999999</v>
      </c>
      <c r="F285" s="5">
        <f t="shared" si="8"/>
        <v>0.50851999999999997</v>
      </c>
      <c r="G285">
        <v>10</v>
      </c>
      <c r="H285">
        <f t="shared" si="9"/>
        <v>72.277776000000003</v>
      </c>
    </row>
    <row r="286" spans="1:8">
      <c r="A286" s="1" t="s">
        <v>36</v>
      </c>
      <c r="B286" s="1" t="s">
        <v>44</v>
      </c>
      <c r="C286" s="2" t="s">
        <v>23</v>
      </c>
      <c r="D286" s="5">
        <v>0.83599999999999997</v>
      </c>
      <c r="E286">
        <v>0.20327999999999999</v>
      </c>
      <c r="F286" s="5">
        <f t="shared" si="8"/>
        <v>0.63271999999999995</v>
      </c>
      <c r="G286">
        <v>10</v>
      </c>
      <c r="H286">
        <f t="shared" si="9"/>
        <v>89.827235999999999</v>
      </c>
    </row>
    <row r="287" spans="1:8">
      <c r="A287" s="1" t="s">
        <v>36</v>
      </c>
      <c r="B287" s="1" t="s">
        <v>44</v>
      </c>
      <c r="C287" s="2" t="s">
        <v>24</v>
      </c>
      <c r="D287" s="5">
        <v>0.65590000000000004</v>
      </c>
      <c r="E287">
        <v>0.20327999999999999</v>
      </c>
      <c r="F287" s="5">
        <f t="shared" si="8"/>
        <v>0.45262000000000002</v>
      </c>
      <c r="G287">
        <v>10</v>
      </c>
      <c r="H287">
        <f t="shared" si="9"/>
        <v>64.379106000000007</v>
      </c>
    </row>
    <row r="288" spans="1:8">
      <c r="A288" s="1" t="s">
        <v>36</v>
      </c>
      <c r="B288" s="1" t="s">
        <v>44</v>
      </c>
      <c r="C288" s="2" t="s">
        <v>26</v>
      </c>
      <c r="D288" s="5">
        <v>0.98360000000000003</v>
      </c>
      <c r="E288">
        <v>0.20327999999999999</v>
      </c>
      <c r="F288" s="5">
        <f t="shared" si="8"/>
        <v>0.78032000000000001</v>
      </c>
      <c r="G288">
        <v>10</v>
      </c>
      <c r="H288">
        <f t="shared" si="9"/>
        <v>110.683116</v>
      </c>
    </row>
    <row r="289" spans="1:8">
      <c r="A289" s="1" t="s">
        <v>36</v>
      </c>
      <c r="B289" s="1" t="s">
        <v>44</v>
      </c>
      <c r="C289" s="2" t="s">
        <v>27</v>
      </c>
      <c r="D289" s="5">
        <v>0.73950000000000005</v>
      </c>
      <c r="E289">
        <v>0.20327999999999999</v>
      </c>
      <c r="F289" s="5">
        <f t="shared" si="8"/>
        <v>0.53622000000000003</v>
      </c>
      <c r="G289">
        <v>10</v>
      </c>
      <c r="H289">
        <f t="shared" si="9"/>
        <v>76.191786000000008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2F25-DDB1-CE41-ACF6-735DF2E8D7CC}">
  <dimension ref="A1:H289"/>
  <sheetViews>
    <sheetView zoomScale="141" workbookViewId="0">
      <selection activeCell="H2" sqref="H2:H289"/>
    </sheetView>
  </sheetViews>
  <sheetFormatPr baseColWidth="10" defaultRowHeight="16"/>
  <cols>
    <col min="1" max="3" width="10.83203125" style="1"/>
    <col min="4" max="4" width="10.83203125" style="5"/>
  </cols>
  <sheetData>
    <row r="1" spans="1:8">
      <c r="A1" s="1" t="s">
        <v>0</v>
      </c>
      <c r="B1" s="1" t="s">
        <v>1</v>
      </c>
      <c r="C1" s="1" t="s">
        <v>3</v>
      </c>
      <c r="D1" s="4" t="s">
        <v>54</v>
      </c>
      <c r="E1" s="1" t="s">
        <v>55</v>
      </c>
      <c r="F1" s="1" t="s">
        <v>56</v>
      </c>
      <c r="G1" s="1" t="s">
        <v>57</v>
      </c>
      <c r="H1" s="1" t="s">
        <v>64</v>
      </c>
    </row>
    <row r="2" spans="1:8">
      <c r="A2" s="1" t="s">
        <v>35</v>
      </c>
      <c r="B2" s="1" t="s">
        <v>28</v>
      </c>
      <c r="C2" s="1" t="s">
        <v>5</v>
      </c>
      <c r="D2">
        <v>0.28710000000000002</v>
      </c>
      <c r="E2">
        <v>0.128</v>
      </c>
      <c r="F2" s="5">
        <f>D2-E2</f>
        <v>0.15910000000000002</v>
      </c>
      <c r="G2">
        <v>1</v>
      </c>
      <c r="H2">
        <f>F2*1000</f>
        <v>159.10000000000002</v>
      </c>
    </row>
    <row r="3" spans="1:8">
      <c r="A3" s="1" t="s">
        <v>35</v>
      </c>
      <c r="B3" s="1" t="s">
        <v>28</v>
      </c>
      <c r="C3" s="1" t="s">
        <v>6</v>
      </c>
      <c r="D3">
        <v>0.34360000000000002</v>
      </c>
      <c r="E3">
        <v>0.151</v>
      </c>
      <c r="F3" s="5">
        <f t="shared" ref="F3:F66" si="0">D3-E3</f>
        <v>0.19260000000000002</v>
      </c>
      <c r="G3">
        <v>1</v>
      </c>
      <c r="H3">
        <f t="shared" ref="H3:H66" si="1">F3*1000</f>
        <v>192.60000000000002</v>
      </c>
    </row>
    <row r="4" spans="1:8">
      <c r="A4" s="1" t="s">
        <v>35</v>
      </c>
      <c r="B4" s="1" t="s">
        <v>28</v>
      </c>
      <c r="C4" s="1" t="s">
        <v>7</v>
      </c>
      <c r="D4">
        <v>0.35549999999999998</v>
      </c>
      <c r="E4">
        <v>0.156</v>
      </c>
      <c r="F4" s="5">
        <f t="shared" si="0"/>
        <v>0.19949999999999998</v>
      </c>
      <c r="G4">
        <v>1</v>
      </c>
      <c r="H4">
        <f t="shared" si="1"/>
        <v>199.49999999999997</v>
      </c>
    </row>
    <row r="5" spans="1:8">
      <c r="A5" s="1" t="s">
        <v>35</v>
      </c>
      <c r="B5" s="1" t="s">
        <v>28</v>
      </c>
      <c r="C5" s="1" t="s">
        <v>9</v>
      </c>
      <c r="D5">
        <v>0.38450000000000001</v>
      </c>
      <c r="E5">
        <v>0.16400000000000001</v>
      </c>
      <c r="F5" s="5">
        <f t="shared" si="0"/>
        <v>0.2205</v>
      </c>
      <c r="G5">
        <v>1</v>
      </c>
      <c r="H5">
        <f t="shared" si="1"/>
        <v>220.5</v>
      </c>
    </row>
    <row r="6" spans="1:8">
      <c r="A6" s="1" t="s">
        <v>35</v>
      </c>
      <c r="B6" s="1" t="s">
        <v>28</v>
      </c>
      <c r="C6" s="1" t="s">
        <v>10</v>
      </c>
      <c r="D6">
        <v>0.26529999999999998</v>
      </c>
      <c r="E6">
        <v>0.11</v>
      </c>
      <c r="F6" s="5">
        <f t="shared" si="0"/>
        <v>0.15529999999999999</v>
      </c>
      <c r="G6">
        <v>1</v>
      </c>
      <c r="H6">
        <f t="shared" si="1"/>
        <v>155.29999999999998</v>
      </c>
    </row>
    <row r="7" spans="1:8">
      <c r="A7" s="1" t="s">
        <v>35</v>
      </c>
      <c r="B7" s="1" t="s">
        <v>28</v>
      </c>
      <c r="C7" s="1" t="s">
        <v>11</v>
      </c>
      <c r="D7">
        <v>0.43209999999999998</v>
      </c>
      <c r="E7">
        <v>0.19500000000000001</v>
      </c>
      <c r="F7" s="5">
        <f t="shared" si="0"/>
        <v>0.23709999999999998</v>
      </c>
      <c r="G7">
        <v>1</v>
      </c>
      <c r="H7">
        <f t="shared" si="1"/>
        <v>237.09999999999997</v>
      </c>
    </row>
    <row r="8" spans="1:8">
      <c r="A8" s="1" t="s">
        <v>35</v>
      </c>
      <c r="B8" s="1" t="s">
        <v>28</v>
      </c>
      <c r="C8" s="1" t="s">
        <v>13</v>
      </c>
      <c r="D8">
        <v>0.39929999999999999</v>
      </c>
      <c r="E8">
        <v>0.16900000000000001</v>
      </c>
      <c r="F8" s="5">
        <f t="shared" si="0"/>
        <v>0.23029999999999998</v>
      </c>
      <c r="G8">
        <v>1</v>
      </c>
      <c r="H8">
        <f t="shared" si="1"/>
        <v>230.29999999999998</v>
      </c>
    </row>
    <row r="9" spans="1:8">
      <c r="A9" s="1" t="s">
        <v>35</v>
      </c>
      <c r="B9" s="1" t="s">
        <v>28</v>
      </c>
      <c r="C9" s="1" t="s">
        <v>14</v>
      </c>
      <c r="D9">
        <v>0.37519999999999998</v>
      </c>
      <c r="E9">
        <v>0.156</v>
      </c>
      <c r="F9" s="5">
        <f t="shared" si="0"/>
        <v>0.21919999999999998</v>
      </c>
      <c r="G9">
        <v>1</v>
      </c>
      <c r="H9">
        <f t="shared" si="1"/>
        <v>219.2</v>
      </c>
    </row>
    <row r="10" spans="1:8">
      <c r="A10" s="1" t="s">
        <v>35</v>
      </c>
      <c r="B10" s="1" t="s">
        <v>28</v>
      </c>
      <c r="C10" s="1" t="s">
        <v>15</v>
      </c>
      <c r="D10">
        <v>0.32979999999999998</v>
      </c>
      <c r="E10">
        <v>0.128</v>
      </c>
      <c r="F10" s="5">
        <f t="shared" si="0"/>
        <v>0.20179999999999998</v>
      </c>
      <c r="G10">
        <v>1</v>
      </c>
      <c r="H10">
        <f t="shared" si="1"/>
        <v>201.79999999999998</v>
      </c>
    </row>
    <row r="11" spans="1:8">
      <c r="A11" s="1" t="s">
        <v>35</v>
      </c>
      <c r="B11" s="1" t="s">
        <v>28</v>
      </c>
      <c r="C11" s="1" t="s">
        <v>17</v>
      </c>
      <c r="D11">
        <v>0.5171</v>
      </c>
      <c r="E11">
        <v>0.218</v>
      </c>
      <c r="F11" s="5">
        <f t="shared" si="0"/>
        <v>0.29910000000000003</v>
      </c>
      <c r="G11">
        <v>1</v>
      </c>
      <c r="H11">
        <f t="shared" si="1"/>
        <v>299.10000000000002</v>
      </c>
    </row>
    <row r="12" spans="1:8">
      <c r="A12" s="1" t="s">
        <v>35</v>
      </c>
      <c r="B12" s="1" t="s">
        <v>28</v>
      </c>
      <c r="C12" s="1" t="s">
        <v>18</v>
      </c>
      <c r="D12">
        <v>0.94869999999999999</v>
      </c>
      <c r="E12">
        <v>0.40500000000000003</v>
      </c>
      <c r="F12" s="5">
        <f t="shared" si="0"/>
        <v>0.54369999999999996</v>
      </c>
      <c r="G12">
        <v>1</v>
      </c>
      <c r="H12">
        <f t="shared" si="1"/>
        <v>543.69999999999993</v>
      </c>
    </row>
    <row r="13" spans="1:8">
      <c r="A13" s="1" t="s">
        <v>35</v>
      </c>
      <c r="B13" s="1" t="s">
        <v>28</v>
      </c>
      <c r="C13" s="1" t="s">
        <v>19</v>
      </c>
      <c r="D13">
        <v>0.31090000000000001</v>
      </c>
      <c r="E13">
        <v>0.124</v>
      </c>
      <c r="F13" s="5">
        <f t="shared" si="0"/>
        <v>0.18690000000000001</v>
      </c>
      <c r="G13">
        <v>1</v>
      </c>
      <c r="H13">
        <f t="shared" si="1"/>
        <v>186.9</v>
      </c>
    </row>
    <row r="14" spans="1:8">
      <c r="A14" s="1" t="s">
        <v>35</v>
      </c>
      <c r="B14" s="1" t="s">
        <v>28</v>
      </c>
      <c r="C14" s="1" t="s">
        <v>21</v>
      </c>
      <c r="D14">
        <v>0.44309999999999999</v>
      </c>
      <c r="E14">
        <v>0.18</v>
      </c>
      <c r="F14" s="5">
        <f t="shared" si="0"/>
        <v>0.2631</v>
      </c>
      <c r="G14">
        <v>1</v>
      </c>
      <c r="H14">
        <f t="shared" si="1"/>
        <v>263.10000000000002</v>
      </c>
    </row>
    <row r="15" spans="1:8">
      <c r="A15" s="1" t="s">
        <v>35</v>
      </c>
      <c r="B15" s="1" t="s">
        <v>28</v>
      </c>
      <c r="C15" s="1" t="s">
        <v>22</v>
      </c>
      <c r="D15">
        <v>0.3327</v>
      </c>
      <c r="E15">
        <v>0.13200000000000001</v>
      </c>
      <c r="F15" s="5">
        <f t="shared" si="0"/>
        <v>0.20069999999999999</v>
      </c>
      <c r="G15">
        <v>1</v>
      </c>
      <c r="H15">
        <f t="shared" si="1"/>
        <v>200.7</v>
      </c>
    </row>
    <row r="16" spans="1:8">
      <c r="A16" s="1" t="s">
        <v>35</v>
      </c>
      <c r="B16" s="1" t="s">
        <v>28</v>
      </c>
      <c r="C16" s="1" t="s">
        <v>23</v>
      </c>
      <c r="D16">
        <v>0.25850000000000001</v>
      </c>
      <c r="E16">
        <v>0.10100000000000001</v>
      </c>
      <c r="F16" s="5">
        <f t="shared" si="0"/>
        <v>0.1575</v>
      </c>
      <c r="G16">
        <v>1</v>
      </c>
      <c r="H16">
        <f t="shared" si="1"/>
        <v>157.5</v>
      </c>
    </row>
    <row r="17" spans="1:8">
      <c r="A17" s="1" t="s">
        <v>35</v>
      </c>
      <c r="B17" s="1" t="s">
        <v>28</v>
      </c>
      <c r="C17" s="1" t="s">
        <v>25</v>
      </c>
      <c r="D17">
        <v>0.55979999999999996</v>
      </c>
      <c r="E17">
        <v>0.23599999999999999</v>
      </c>
      <c r="F17" s="5">
        <f t="shared" si="0"/>
        <v>0.32379999999999998</v>
      </c>
      <c r="G17">
        <v>1</v>
      </c>
      <c r="H17">
        <f t="shared" si="1"/>
        <v>323.79999999999995</v>
      </c>
    </row>
    <row r="18" spans="1:8">
      <c r="A18" s="1" t="s">
        <v>35</v>
      </c>
      <c r="B18" s="1" t="s">
        <v>28</v>
      </c>
      <c r="C18" s="1" t="s">
        <v>26</v>
      </c>
      <c r="D18">
        <v>0.4365</v>
      </c>
      <c r="E18">
        <v>0.17100000000000001</v>
      </c>
      <c r="F18" s="5">
        <f t="shared" si="0"/>
        <v>0.26549999999999996</v>
      </c>
      <c r="G18">
        <v>1</v>
      </c>
      <c r="H18">
        <f t="shared" si="1"/>
        <v>265.49999999999994</v>
      </c>
    </row>
    <row r="19" spans="1:8">
      <c r="A19" s="1" t="s">
        <v>35</v>
      </c>
      <c r="B19" s="1" t="s">
        <v>28</v>
      </c>
      <c r="C19" s="1" t="s">
        <v>27</v>
      </c>
      <c r="D19">
        <v>0.34189999999999998</v>
      </c>
      <c r="E19">
        <v>0.129</v>
      </c>
      <c r="F19" s="5">
        <f t="shared" si="0"/>
        <v>0.21289999999999998</v>
      </c>
      <c r="G19">
        <v>1</v>
      </c>
      <c r="H19">
        <f t="shared" si="1"/>
        <v>212.89999999999998</v>
      </c>
    </row>
    <row r="20" spans="1:8">
      <c r="A20" s="1" t="s">
        <v>35</v>
      </c>
      <c r="B20" s="1" t="s">
        <v>2</v>
      </c>
      <c r="C20" s="1" t="s">
        <v>5</v>
      </c>
      <c r="D20">
        <v>0.44340000000000002</v>
      </c>
      <c r="E20">
        <v>0.224</v>
      </c>
      <c r="F20" s="5">
        <f t="shared" si="0"/>
        <v>0.21940000000000001</v>
      </c>
      <c r="G20">
        <v>1</v>
      </c>
      <c r="H20">
        <f t="shared" si="1"/>
        <v>219.4</v>
      </c>
    </row>
    <row r="21" spans="1:8">
      <c r="A21" s="1" t="s">
        <v>35</v>
      </c>
      <c r="B21" s="1" t="s">
        <v>2</v>
      </c>
      <c r="C21" s="1" t="s">
        <v>6</v>
      </c>
      <c r="D21">
        <v>0.65649999999999997</v>
      </c>
      <c r="E21">
        <v>0.33</v>
      </c>
      <c r="F21" s="5">
        <f t="shared" si="0"/>
        <v>0.32649999999999996</v>
      </c>
      <c r="G21">
        <v>1</v>
      </c>
      <c r="H21">
        <f t="shared" si="1"/>
        <v>326.49999999999994</v>
      </c>
    </row>
    <row r="22" spans="1:8">
      <c r="A22" s="1" t="s">
        <v>35</v>
      </c>
      <c r="B22" s="1" t="s">
        <v>2</v>
      </c>
      <c r="C22" s="1" t="s">
        <v>7</v>
      </c>
      <c r="D22">
        <v>0.65329999999999999</v>
      </c>
      <c r="E22">
        <v>0.34200000000000003</v>
      </c>
      <c r="F22" s="5">
        <f t="shared" si="0"/>
        <v>0.31129999999999997</v>
      </c>
      <c r="G22">
        <v>1</v>
      </c>
      <c r="H22">
        <f t="shared" si="1"/>
        <v>311.29999999999995</v>
      </c>
    </row>
    <row r="23" spans="1:8">
      <c r="A23" s="1" t="s">
        <v>35</v>
      </c>
      <c r="B23" s="1" t="s">
        <v>2</v>
      </c>
      <c r="C23" s="1" t="s">
        <v>9</v>
      </c>
      <c r="D23">
        <v>0.25519999999999998</v>
      </c>
      <c r="E23">
        <v>0.111</v>
      </c>
      <c r="F23" s="5">
        <f t="shared" si="0"/>
        <v>0.14419999999999999</v>
      </c>
      <c r="G23">
        <v>1</v>
      </c>
      <c r="H23">
        <f t="shared" si="1"/>
        <v>144.19999999999999</v>
      </c>
    </row>
    <row r="24" spans="1:8">
      <c r="A24" s="1" t="s">
        <v>35</v>
      </c>
      <c r="B24" s="1" t="s">
        <v>2</v>
      </c>
      <c r="C24" s="1" t="s">
        <v>10</v>
      </c>
      <c r="D24">
        <v>0.29260000000000003</v>
      </c>
      <c r="E24">
        <v>0.13100000000000001</v>
      </c>
      <c r="F24" s="5">
        <f t="shared" si="0"/>
        <v>0.16160000000000002</v>
      </c>
      <c r="G24">
        <v>1</v>
      </c>
      <c r="H24">
        <f t="shared" si="1"/>
        <v>161.60000000000002</v>
      </c>
    </row>
    <row r="25" spans="1:8">
      <c r="A25" s="1" t="s">
        <v>35</v>
      </c>
      <c r="B25" s="1" t="s">
        <v>2</v>
      </c>
      <c r="C25" s="1" t="s">
        <v>11</v>
      </c>
      <c r="D25">
        <v>0.19939999999999999</v>
      </c>
      <c r="E25">
        <v>8.6999999999999994E-2</v>
      </c>
      <c r="F25" s="5">
        <f t="shared" si="0"/>
        <v>0.1124</v>
      </c>
      <c r="G25">
        <v>1</v>
      </c>
      <c r="H25">
        <f t="shared" si="1"/>
        <v>112.4</v>
      </c>
    </row>
    <row r="26" spans="1:8">
      <c r="A26" s="1" t="s">
        <v>35</v>
      </c>
      <c r="B26" s="1" t="s">
        <v>2</v>
      </c>
      <c r="C26" s="1" t="s">
        <v>13</v>
      </c>
      <c r="D26">
        <v>0.59850000000000003</v>
      </c>
      <c r="E26">
        <v>0.27500000000000002</v>
      </c>
      <c r="F26" s="5">
        <f t="shared" si="0"/>
        <v>0.32350000000000001</v>
      </c>
      <c r="G26">
        <v>1</v>
      </c>
      <c r="H26">
        <f t="shared" si="1"/>
        <v>323.5</v>
      </c>
    </row>
    <row r="27" spans="1:8">
      <c r="A27" s="1" t="s">
        <v>35</v>
      </c>
      <c r="B27" s="1" t="s">
        <v>2</v>
      </c>
      <c r="C27" s="1" t="s">
        <v>14</v>
      </c>
      <c r="D27">
        <v>1.0049999999999999</v>
      </c>
      <c r="E27">
        <v>0.48099999999999998</v>
      </c>
      <c r="F27" s="5">
        <f t="shared" si="0"/>
        <v>0.52399999999999991</v>
      </c>
      <c r="G27">
        <v>1</v>
      </c>
      <c r="H27">
        <f t="shared" si="1"/>
        <v>523.99999999999989</v>
      </c>
    </row>
    <row r="28" spans="1:8">
      <c r="A28" s="1" t="s">
        <v>35</v>
      </c>
      <c r="B28" s="1" t="s">
        <v>2</v>
      </c>
      <c r="C28" s="1" t="s">
        <v>15</v>
      </c>
      <c r="D28">
        <v>0.51200000000000001</v>
      </c>
      <c r="E28">
        <v>0.26200000000000001</v>
      </c>
      <c r="F28" s="5">
        <f t="shared" si="0"/>
        <v>0.25</v>
      </c>
      <c r="G28">
        <v>1</v>
      </c>
      <c r="H28">
        <f t="shared" si="1"/>
        <v>250</v>
      </c>
    </row>
    <row r="29" spans="1:8">
      <c r="A29" s="1" t="s">
        <v>35</v>
      </c>
      <c r="B29" s="1" t="s">
        <v>2</v>
      </c>
      <c r="C29" s="1" t="s">
        <v>17</v>
      </c>
      <c r="D29">
        <v>0.46629999999999999</v>
      </c>
      <c r="E29">
        <v>0.20799999999999999</v>
      </c>
      <c r="F29" s="5">
        <f t="shared" si="0"/>
        <v>0.25829999999999997</v>
      </c>
      <c r="G29">
        <v>1</v>
      </c>
      <c r="H29">
        <f t="shared" si="1"/>
        <v>258.29999999999995</v>
      </c>
    </row>
    <row r="30" spans="1:8">
      <c r="A30" s="1" t="s">
        <v>35</v>
      </c>
      <c r="B30" s="1" t="s">
        <v>2</v>
      </c>
      <c r="C30" s="1" t="s">
        <v>18</v>
      </c>
      <c r="D30">
        <v>0.38090000000000002</v>
      </c>
      <c r="E30">
        <v>0.16300000000000001</v>
      </c>
      <c r="F30" s="5">
        <f t="shared" si="0"/>
        <v>0.21790000000000001</v>
      </c>
      <c r="G30">
        <v>1</v>
      </c>
      <c r="H30">
        <f t="shared" si="1"/>
        <v>217.9</v>
      </c>
    </row>
    <row r="31" spans="1:8">
      <c r="A31" s="1" t="s">
        <v>35</v>
      </c>
      <c r="B31" s="1" t="s">
        <v>2</v>
      </c>
      <c r="C31" s="1" t="s">
        <v>19</v>
      </c>
      <c r="D31">
        <v>0.32050000000000001</v>
      </c>
      <c r="E31">
        <v>0.13</v>
      </c>
      <c r="F31" s="5">
        <f t="shared" si="0"/>
        <v>0.1905</v>
      </c>
      <c r="G31">
        <v>1</v>
      </c>
      <c r="H31">
        <f t="shared" si="1"/>
        <v>190.5</v>
      </c>
    </row>
    <row r="32" spans="1:8">
      <c r="A32" s="1" t="s">
        <v>35</v>
      </c>
      <c r="B32" s="1" t="s">
        <v>2</v>
      </c>
      <c r="C32" s="1" t="s">
        <v>21</v>
      </c>
      <c r="D32">
        <v>0.53439999999999999</v>
      </c>
      <c r="E32">
        <v>0.22600000000000001</v>
      </c>
      <c r="F32" s="5">
        <f t="shared" si="0"/>
        <v>0.30840000000000001</v>
      </c>
      <c r="G32">
        <v>1</v>
      </c>
      <c r="H32">
        <f t="shared" si="1"/>
        <v>308.40000000000003</v>
      </c>
    </row>
    <row r="33" spans="1:8">
      <c r="A33" s="1" t="s">
        <v>35</v>
      </c>
      <c r="B33" s="1" t="s">
        <v>2</v>
      </c>
      <c r="C33" s="1" t="s">
        <v>22</v>
      </c>
      <c r="D33">
        <v>0.44990000000000002</v>
      </c>
      <c r="E33">
        <v>0.20100000000000001</v>
      </c>
      <c r="F33" s="5">
        <f t="shared" si="0"/>
        <v>0.24890000000000001</v>
      </c>
      <c r="G33">
        <v>1</v>
      </c>
      <c r="H33">
        <f t="shared" si="1"/>
        <v>248.9</v>
      </c>
    </row>
    <row r="34" spans="1:8">
      <c r="A34" s="1" t="s">
        <v>35</v>
      </c>
      <c r="B34" s="1" t="s">
        <v>2</v>
      </c>
      <c r="C34" s="1" t="s">
        <v>23</v>
      </c>
      <c r="D34">
        <v>0.53549999999999998</v>
      </c>
      <c r="E34">
        <v>0.25600000000000001</v>
      </c>
      <c r="F34" s="5">
        <f t="shared" si="0"/>
        <v>0.27949999999999997</v>
      </c>
      <c r="G34">
        <v>1</v>
      </c>
      <c r="H34">
        <f t="shared" si="1"/>
        <v>279.49999999999994</v>
      </c>
    </row>
    <row r="35" spans="1:8">
      <c r="A35" s="1" t="s">
        <v>35</v>
      </c>
      <c r="B35" s="1" t="s">
        <v>2</v>
      </c>
      <c r="C35" s="1" t="s">
        <v>25</v>
      </c>
      <c r="D35">
        <v>0.41639999999999999</v>
      </c>
      <c r="E35">
        <v>0.189</v>
      </c>
      <c r="F35" s="5">
        <f t="shared" si="0"/>
        <v>0.22739999999999999</v>
      </c>
      <c r="G35">
        <v>1</v>
      </c>
      <c r="H35">
        <f t="shared" si="1"/>
        <v>227.39999999999998</v>
      </c>
    </row>
    <row r="36" spans="1:8">
      <c r="A36" s="1" t="s">
        <v>35</v>
      </c>
      <c r="B36" s="1" t="s">
        <v>2</v>
      </c>
      <c r="C36" s="1" t="s">
        <v>26</v>
      </c>
      <c r="D36">
        <v>0.4042</v>
      </c>
      <c r="E36">
        <v>0.186</v>
      </c>
      <c r="F36" s="5">
        <f t="shared" si="0"/>
        <v>0.21820000000000001</v>
      </c>
      <c r="G36">
        <v>1</v>
      </c>
      <c r="H36">
        <f t="shared" si="1"/>
        <v>218.20000000000002</v>
      </c>
    </row>
    <row r="37" spans="1:8">
      <c r="A37" s="1" t="s">
        <v>35</v>
      </c>
      <c r="B37" s="1" t="s">
        <v>2</v>
      </c>
      <c r="C37" s="1" t="s">
        <v>27</v>
      </c>
      <c r="D37">
        <v>0.44829999999999998</v>
      </c>
      <c r="E37">
        <v>0.222</v>
      </c>
      <c r="F37" s="5">
        <f t="shared" si="0"/>
        <v>0.22629999999999997</v>
      </c>
      <c r="G37">
        <v>1</v>
      </c>
      <c r="H37">
        <f t="shared" si="1"/>
        <v>226.29999999999998</v>
      </c>
    </row>
    <row r="38" spans="1:8">
      <c r="A38" s="1" t="s">
        <v>35</v>
      </c>
      <c r="B38" s="1" t="s">
        <v>29</v>
      </c>
      <c r="C38" s="1" t="s">
        <v>5</v>
      </c>
      <c r="D38">
        <v>0.50460000000000005</v>
      </c>
      <c r="E38">
        <v>0.27100000000000002</v>
      </c>
      <c r="F38" s="5">
        <f t="shared" si="0"/>
        <v>0.23360000000000003</v>
      </c>
      <c r="G38">
        <v>1</v>
      </c>
      <c r="H38">
        <f t="shared" si="1"/>
        <v>233.60000000000002</v>
      </c>
    </row>
    <row r="39" spans="1:8">
      <c r="A39" s="1" t="s">
        <v>35</v>
      </c>
      <c r="B39" s="1" t="s">
        <v>29</v>
      </c>
      <c r="C39" s="1" t="s">
        <v>6</v>
      </c>
      <c r="D39">
        <v>0.50960000000000005</v>
      </c>
      <c r="E39">
        <v>0.255</v>
      </c>
      <c r="F39" s="5">
        <f t="shared" si="0"/>
        <v>0.25460000000000005</v>
      </c>
      <c r="G39">
        <v>1</v>
      </c>
      <c r="H39">
        <f t="shared" si="1"/>
        <v>254.60000000000005</v>
      </c>
    </row>
    <row r="40" spans="1:8">
      <c r="A40" s="1" t="s">
        <v>35</v>
      </c>
      <c r="B40" s="1" t="s">
        <v>29</v>
      </c>
      <c r="C40" s="1" t="s">
        <v>7</v>
      </c>
      <c r="D40">
        <v>0.35759999999999997</v>
      </c>
      <c r="E40">
        <v>0.17299999999999999</v>
      </c>
      <c r="F40" s="5">
        <f t="shared" si="0"/>
        <v>0.18459999999999999</v>
      </c>
      <c r="G40">
        <v>1</v>
      </c>
      <c r="H40">
        <f t="shared" si="1"/>
        <v>184.6</v>
      </c>
    </row>
    <row r="41" spans="1:8">
      <c r="A41" s="1" t="s">
        <v>35</v>
      </c>
      <c r="B41" s="1" t="s">
        <v>29</v>
      </c>
      <c r="C41" s="1" t="s">
        <v>9</v>
      </c>
      <c r="D41">
        <v>0.43240000000000001</v>
      </c>
      <c r="E41">
        <v>0.22</v>
      </c>
      <c r="F41" s="5">
        <f t="shared" si="0"/>
        <v>0.21240000000000001</v>
      </c>
      <c r="G41">
        <v>1</v>
      </c>
      <c r="H41">
        <f t="shared" si="1"/>
        <v>212.4</v>
      </c>
    </row>
    <row r="42" spans="1:8">
      <c r="A42" s="1" t="s">
        <v>35</v>
      </c>
      <c r="B42" s="1" t="s">
        <v>29</v>
      </c>
      <c r="C42" s="1" t="s">
        <v>10</v>
      </c>
      <c r="D42">
        <v>0.4572</v>
      </c>
      <c r="E42">
        <v>0.245</v>
      </c>
      <c r="F42" s="5">
        <f t="shared" si="0"/>
        <v>0.2122</v>
      </c>
      <c r="G42">
        <v>1</v>
      </c>
      <c r="H42">
        <f t="shared" si="1"/>
        <v>212.2</v>
      </c>
    </row>
    <row r="43" spans="1:8">
      <c r="A43" s="1" t="s">
        <v>35</v>
      </c>
      <c r="B43" s="1" t="s">
        <v>29</v>
      </c>
      <c r="C43" s="1" t="s">
        <v>11</v>
      </c>
      <c r="D43">
        <v>0.4199</v>
      </c>
      <c r="E43">
        <v>0.214</v>
      </c>
      <c r="F43" s="5">
        <f t="shared" si="0"/>
        <v>0.2059</v>
      </c>
      <c r="G43">
        <v>1</v>
      </c>
      <c r="H43">
        <f t="shared" si="1"/>
        <v>205.9</v>
      </c>
    </row>
    <row r="44" spans="1:8">
      <c r="A44" s="1" t="s">
        <v>35</v>
      </c>
      <c r="B44" s="1" t="s">
        <v>29</v>
      </c>
      <c r="C44" s="1" t="s">
        <v>13</v>
      </c>
      <c r="D44">
        <v>0.64559999999999995</v>
      </c>
      <c r="E44">
        <v>0.34200000000000003</v>
      </c>
      <c r="F44" s="5">
        <f t="shared" si="0"/>
        <v>0.30359999999999993</v>
      </c>
      <c r="G44">
        <v>1</v>
      </c>
      <c r="H44">
        <f t="shared" si="1"/>
        <v>303.59999999999991</v>
      </c>
    </row>
    <row r="45" spans="1:8">
      <c r="A45" s="1" t="s">
        <v>35</v>
      </c>
      <c r="B45" s="1" t="s">
        <v>29</v>
      </c>
      <c r="C45" s="1" t="s">
        <v>14</v>
      </c>
      <c r="D45">
        <v>0.44469999999999998</v>
      </c>
      <c r="E45">
        <v>0.23100000000000001</v>
      </c>
      <c r="F45" s="5">
        <f t="shared" si="0"/>
        <v>0.21369999999999997</v>
      </c>
      <c r="G45">
        <v>1</v>
      </c>
      <c r="H45">
        <f t="shared" si="1"/>
        <v>213.69999999999996</v>
      </c>
    </row>
    <row r="46" spans="1:8">
      <c r="A46" s="1" t="s">
        <v>35</v>
      </c>
      <c r="B46" s="1" t="s">
        <v>29</v>
      </c>
      <c r="C46" s="1" t="s">
        <v>15</v>
      </c>
      <c r="D46">
        <v>0.78459999999999996</v>
      </c>
      <c r="E46">
        <v>0.36499999999999999</v>
      </c>
      <c r="F46" s="5">
        <f t="shared" si="0"/>
        <v>0.41959999999999997</v>
      </c>
      <c r="G46">
        <v>1</v>
      </c>
      <c r="H46">
        <f t="shared" si="1"/>
        <v>419.59999999999997</v>
      </c>
    </row>
    <row r="47" spans="1:8">
      <c r="A47" s="1" t="s">
        <v>35</v>
      </c>
      <c r="B47" s="1" t="s">
        <v>29</v>
      </c>
      <c r="C47" s="1" t="s">
        <v>17</v>
      </c>
      <c r="D47">
        <v>0.57320000000000004</v>
      </c>
      <c r="E47">
        <v>0.30099999999999999</v>
      </c>
      <c r="F47" s="5">
        <f t="shared" si="0"/>
        <v>0.27220000000000005</v>
      </c>
      <c r="G47">
        <v>1</v>
      </c>
      <c r="H47">
        <f t="shared" si="1"/>
        <v>272.20000000000005</v>
      </c>
    </row>
    <row r="48" spans="1:8">
      <c r="A48" s="1" t="s">
        <v>35</v>
      </c>
      <c r="B48" s="1" t="s">
        <v>29</v>
      </c>
      <c r="C48" s="1" t="s">
        <v>18</v>
      </c>
      <c r="D48">
        <v>1.3758999999999999</v>
      </c>
      <c r="E48">
        <v>0.73</v>
      </c>
      <c r="F48" s="5">
        <f t="shared" si="0"/>
        <v>0.64589999999999992</v>
      </c>
      <c r="G48">
        <v>1</v>
      </c>
      <c r="H48">
        <f t="shared" si="1"/>
        <v>645.89999999999986</v>
      </c>
    </row>
    <row r="49" spans="1:8">
      <c r="A49" s="1" t="s">
        <v>35</v>
      </c>
      <c r="B49" s="1" t="s">
        <v>29</v>
      </c>
      <c r="C49" s="1" t="s">
        <v>19</v>
      </c>
      <c r="D49">
        <v>1.1327</v>
      </c>
      <c r="E49">
        <v>0.62</v>
      </c>
      <c r="F49" s="5">
        <f t="shared" si="0"/>
        <v>0.51270000000000004</v>
      </c>
      <c r="G49">
        <v>1</v>
      </c>
      <c r="H49">
        <f t="shared" si="1"/>
        <v>512.70000000000005</v>
      </c>
    </row>
    <row r="50" spans="1:8">
      <c r="A50" s="1" t="s">
        <v>35</v>
      </c>
      <c r="B50" s="1" t="s">
        <v>29</v>
      </c>
      <c r="C50" s="1" t="s">
        <v>21</v>
      </c>
      <c r="D50">
        <v>0.63600000000000001</v>
      </c>
      <c r="E50">
        <v>0.34200000000000003</v>
      </c>
      <c r="F50" s="5">
        <f t="shared" si="0"/>
        <v>0.29399999999999998</v>
      </c>
      <c r="G50">
        <v>1</v>
      </c>
      <c r="H50">
        <f t="shared" si="1"/>
        <v>294</v>
      </c>
    </row>
    <row r="51" spans="1:8">
      <c r="A51" s="1" t="s">
        <v>35</v>
      </c>
      <c r="B51" s="1" t="s">
        <v>29</v>
      </c>
      <c r="C51" s="1" t="s">
        <v>22</v>
      </c>
      <c r="D51">
        <v>0.36359999999999998</v>
      </c>
      <c r="E51">
        <v>0.18</v>
      </c>
      <c r="F51" s="5">
        <f t="shared" si="0"/>
        <v>0.18359999999999999</v>
      </c>
      <c r="G51">
        <v>1</v>
      </c>
      <c r="H51">
        <f t="shared" si="1"/>
        <v>183.6</v>
      </c>
    </row>
    <row r="52" spans="1:8">
      <c r="A52" s="1" t="s">
        <v>35</v>
      </c>
      <c r="B52" s="1" t="s">
        <v>29</v>
      </c>
      <c r="C52" s="1" t="s">
        <v>23</v>
      </c>
      <c r="D52">
        <v>0.50990000000000002</v>
      </c>
      <c r="E52">
        <v>0.26800000000000002</v>
      </c>
      <c r="F52" s="5">
        <f t="shared" si="0"/>
        <v>0.2419</v>
      </c>
      <c r="G52">
        <v>1</v>
      </c>
      <c r="H52">
        <f t="shared" si="1"/>
        <v>241.9</v>
      </c>
    </row>
    <row r="53" spans="1:8">
      <c r="A53" s="1" t="s">
        <v>35</v>
      </c>
      <c r="B53" s="1" t="s">
        <v>29</v>
      </c>
      <c r="C53" s="1" t="s">
        <v>25</v>
      </c>
      <c r="D53">
        <v>0.54200000000000004</v>
      </c>
      <c r="E53">
        <v>0.29499999999999998</v>
      </c>
      <c r="F53" s="5">
        <f t="shared" si="0"/>
        <v>0.24700000000000005</v>
      </c>
      <c r="G53">
        <v>1</v>
      </c>
      <c r="H53">
        <f t="shared" si="1"/>
        <v>247.00000000000006</v>
      </c>
    </row>
    <row r="54" spans="1:8">
      <c r="A54" s="1" t="s">
        <v>35</v>
      </c>
      <c r="B54" s="1" t="s">
        <v>29</v>
      </c>
      <c r="C54" s="1" t="s">
        <v>26</v>
      </c>
      <c r="D54">
        <v>1.0552999999999999</v>
      </c>
      <c r="E54">
        <v>0.54700000000000004</v>
      </c>
      <c r="F54" s="5">
        <f t="shared" si="0"/>
        <v>0.50829999999999986</v>
      </c>
      <c r="G54">
        <v>1</v>
      </c>
      <c r="H54">
        <f t="shared" si="1"/>
        <v>508.29999999999984</v>
      </c>
    </row>
    <row r="55" spans="1:8">
      <c r="A55" s="1" t="s">
        <v>35</v>
      </c>
      <c r="B55" s="1" t="s">
        <v>29</v>
      </c>
      <c r="C55" s="1" t="s">
        <v>27</v>
      </c>
      <c r="D55">
        <v>0.43130000000000002</v>
      </c>
      <c r="E55">
        <v>0.224</v>
      </c>
      <c r="F55" s="5">
        <f t="shared" si="0"/>
        <v>0.20730000000000001</v>
      </c>
      <c r="G55">
        <v>1</v>
      </c>
      <c r="H55">
        <f t="shared" si="1"/>
        <v>207.3</v>
      </c>
    </row>
    <row r="56" spans="1:8">
      <c r="A56" s="1" t="s">
        <v>35</v>
      </c>
      <c r="B56" s="1" t="s">
        <v>30</v>
      </c>
      <c r="C56" s="1" t="s">
        <v>5</v>
      </c>
      <c r="D56">
        <v>0.48699999999999999</v>
      </c>
      <c r="E56">
        <v>0.26800000000000002</v>
      </c>
      <c r="F56" s="5">
        <f t="shared" si="0"/>
        <v>0.21899999999999997</v>
      </c>
      <c r="G56">
        <v>1</v>
      </c>
      <c r="H56">
        <f t="shared" si="1"/>
        <v>218.99999999999997</v>
      </c>
    </row>
    <row r="57" spans="1:8">
      <c r="A57" s="1" t="s">
        <v>35</v>
      </c>
      <c r="B57" s="1" t="s">
        <v>30</v>
      </c>
      <c r="C57" s="1" t="s">
        <v>6</v>
      </c>
      <c r="D57">
        <v>0.76339999999999997</v>
      </c>
      <c r="E57">
        <v>0.39400000000000002</v>
      </c>
      <c r="F57" s="5">
        <f t="shared" si="0"/>
        <v>0.36939999999999995</v>
      </c>
      <c r="G57">
        <v>1</v>
      </c>
      <c r="H57">
        <f t="shared" si="1"/>
        <v>369.4</v>
      </c>
    </row>
    <row r="58" spans="1:8">
      <c r="A58" s="1" t="s">
        <v>35</v>
      </c>
      <c r="B58" s="1" t="s">
        <v>30</v>
      </c>
      <c r="C58" s="1" t="s">
        <v>7</v>
      </c>
      <c r="D58">
        <v>0.44590000000000002</v>
      </c>
      <c r="E58">
        <v>0.23799999999999999</v>
      </c>
      <c r="F58" s="5">
        <f t="shared" si="0"/>
        <v>0.20790000000000003</v>
      </c>
      <c r="G58">
        <v>1</v>
      </c>
      <c r="H58">
        <f t="shared" si="1"/>
        <v>207.90000000000003</v>
      </c>
    </row>
    <row r="59" spans="1:8">
      <c r="A59" s="1" t="s">
        <v>35</v>
      </c>
      <c r="B59" s="1" t="s">
        <v>30</v>
      </c>
      <c r="C59" s="1" t="s">
        <v>9</v>
      </c>
      <c r="D59">
        <v>0.45960000000000001</v>
      </c>
      <c r="E59">
        <v>0.23100000000000001</v>
      </c>
      <c r="F59" s="5">
        <f t="shared" si="0"/>
        <v>0.2286</v>
      </c>
      <c r="G59">
        <v>1</v>
      </c>
      <c r="H59">
        <f t="shared" si="1"/>
        <v>228.6</v>
      </c>
    </row>
    <row r="60" spans="1:8">
      <c r="A60" s="1" t="s">
        <v>35</v>
      </c>
      <c r="B60" s="1" t="s">
        <v>30</v>
      </c>
      <c r="C60" s="1" t="s">
        <v>10</v>
      </c>
      <c r="D60">
        <v>0.50919999999999999</v>
      </c>
      <c r="E60">
        <v>0.253</v>
      </c>
      <c r="F60" s="5">
        <f t="shared" si="0"/>
        <v>0.25619999999999998</v>
      </c>
      <c r="G60">
        <v>1</v>
      </c>
      <c r="H60">
        <f t="shared" si="1"/>
        <v>256.2</v>
      </c>
    </row>
    <row r="61" spans="1:8">
      <c r="A61" s="1" t="s">
        <v>35</v>
      </c>
      <c r="B61" s="1" t="s">
        <v>30</v>
      </c>
      <c r="C61" s="1" t="s">
        <v>11</v>
      </c>
      <c r="D61">
        <v>0.53700000000000003</v>
      </c>
      <c r="E61">
        <v>0.26800000000000002</v>
      </c>
      <c r="F61" s="5">
        <f t="shared" si="0"/>
        <v>0.26900000000000002</v>
      </c>
      <c r="G61">
        <v>1</v>
      </c>
      <c r="H61">
        <f t="shared" si="1"/>
        <v>269</v>
      </c>
    </row>
    <row r="62" spans="1:8">
      <c r="A62" s="1" t="s">
        <v>35</v>
      </c>
      <c r="B62" s="1" t="s">
        <v>30</v>
      </c>
      <c r="C62" s="1" t="s">
        <v>13</v>
      </c>
      <c r="D62">
        <v>0.4703</v>
      </c>
      <c r="E62">
        <v>0.223</v>
      </c>
      <c r="F62" s="5">
        <f t="shared" si="0"/>
        <v>0.24729999999999999</v>
      </c>
      <c r="G62">
        <v>1</v>
      </c>
      <c r="H62">
        <f t="shared" si="1"/>
        <v>247.29999999999998</v>
      </c>
    </row>
    <row r="63" spans="1:8">
      <c r="A63" s="1" t="s">
        <v>35</v>
      </c>
      <c r="B63" s="1" t="s">
        <v>30</v>
      </c>
      <c r="C63" s="1" t="s">
        <v>14</v>
      </c>
      <c r="D63">
        <v>0.88339999999999996</v>
      </c>
      <c r="E63">
        <v>0.443</v>
      </c>
      <c r="F63" s="5">
        <f t="shared" si="0"/>
        <v>0.44039999999999996</v>
      </c>
      <c r="G63">
        <v>1</v>
      </c>
      <c r="H63">
        <f t="shared" si="1"/>
        <v>440.4</v>
      </c>
    </row>
    <row r="64" spans="1:8">
      <c r="A64" s="1" t="s">
        <v>35</v>
      </c>
      <c r="B64" s="1" t="s">
        <v>30</v>
      </c>
      <c r="C64" s="1" t="s">
        <v>15</v>
      </c>
      <c r="D64">
        <v>0.51500000000000001</v>
      </c>
      <c r="E64">
        <v>0.24199999999999999</v>
      </c>
      <c r="F64" s="5">
        <f t="shared" si="0"/>
        <v>0.27300000000000002</v>
      </c>
      <c r="G64">
        <v>1</v>
      </c>
      <c r="H64">
        <f t="shared" si="1"/>
        <v>273</v>
      </c>
    </row>
    <row r="65" spans="1:8">
      <c r="A65" s="1" t="s">
        <v>35</v>
      </c>
      <c r="B65" s="1" t="s">
        <v>30</v>
      </c>
      <c r="C65" s="1" t="s">
        <v>17</v>
      </c>
      <c r="D65">
        <v>0.75390000000000001</v>
      </c>
      <c r="E65">
        <v>0.38400000000000001</v>
      </c>
      <c r="F65" s="5">
        <f t="shared" si="0"/>
        <v>0.36990000000000001</v>
      </c>
      <c r="G65">
        <v>1</v>
      </c>
      <c r="H65">
        <f t="shared" si="1"/>
        <v>369.90000000000003</v>
      </c>
    </row>
    <row r="66" spans="1:8">
      <c r="A66" s="1" t="s">
        <v>35</v>
      </c>
      <c r="B66" s="1" t="s">
        <v>30</v>
      </c>
      <c r="C66" s="1" t="s">
        <v>18</v>
      </c>
      <c r="D66">
        <v>0.5161</v>
      </c>
      <c r="E66">
        <v>0.27</v>
      </c>
      <c r="F66" s="5">
        <f t="shared" si="0"/>
        <v>0.24609999999999999</v>
      </c>
      <c r="G66">
        <v>1</v>
      </c>
      <c r="H66">
        <f t="shared" si="1"/>
        <v>246.1</v>
      </c>
    </row>
    <row r="67" spans="1:8">
      <c r="A67" s="1" t="s">
        <v>35</v>
      </c>
      <c r="B67" s="1" t="s">
        <v>30</v>
      </c>
      <c r="C67" s="1" t="s">
        <v>19</v>
      </c>
      <c r="D67">
        <v>0.56840000000000002</v>
      </c>
      <c r="E67">
        <v>0.30299999999999999</v>
      </c>
      <c r="F67" s="5">
        <f t="shared" ref="F67:F130" si="2">D67-E67</f>
        <v>0.26540000000000002</v>
      </c>
      <c r="G67">
        <v>1</v>
      </c>
      <c r="H67">
        <f t="shared" ref="H67:H130" si="3">F67*1000</f>
        <v>265.40000000000003</v>
      </c>
    </row>
    <row r="68" spans="1:8">
      <c r="A68" s="1" t="s">
        <v>35</v>
      </c>
      <c r="B68" s="1" t="s">
        <v>30</v>
      </c>
      <c r="C68" s="1" t="s">
        <v>21</v>
      </c>
      <c r="D68">
        <v>0.39929999999999999</v>
      </c>
      <c r="E68">
        <v>0.19600000000000001</v>
      </c>
      <c r="F68" s="5">
        <f t="shared" si="2"/>
        <v>0.20329999999999998</v>
      </c>
      <c r="G68">
        <v>1</v>
      </c>
      <c r="H68">
        <f t="shared" si="3"/>
        <v>203.29999999999998</v>
      </c>
    </row>
    <row r="69" spans="1:8">
      <c r="A69" s="1" t="s">
        <v>35</v>
      </c>
      <c r="B69" s="1" t="s">
        <v>30</v>
      </c>
      <c r="C69" s="1" t="s">
        <v>22</v>
      </c>
      <c r="D69">
        <v>0.40739999999999998</v>
      </c>
      <c r="E69">
        <v>0.20100000000000001</v>
      </c>
      <c r="F69" s="5">
        <f t="shared" si="2"/>
        <v>0.20639999999999997</v>
      </c>
      <c r="G69">
        <v>1</v>
      </c>
      <c r="H69">
        <f t="shared" si="3"/>
        <v>206.39999999999998</v>
      </c>
    </row>
    <row r="70" spans="1:8">
      <c r="A70" s="1" t="s">
        <v>35</v>
      </c>
      <c r="B70" s="1" t="s">
        <v>30</v>
      </c>
      <c r="C70" s="1" t="s">
        <v>23</v>
      </c>
      <c r="D70">
        <v>0.39129999999999998</v>
      </c>
      <c r="E70">
        <v>0.183</v>
      </c>
      <c r="F70" s="5">
        <f t="shared" si="2"/>
        <v>0.20829999999999999</v>
      </c>
      <c r="G70">
        <v>1</v>
      </c>
      <c r="H70">
        <f t="shared" si="3"/>
        <v>208.29999999999998</v>
      </c>
    </row>
    <row r="71" spans="1:8">
      <c r="A71" s="1" t="s">
        <v>35</v>
      </c>
      <c r="B71" s="1" t="s">
        <v>30</v>
      </c>
      <c r="C71" s="1" t="s">
        <v>25</v>
      </c>
      <c r="D71">
        <v>0.30330000000000001</v>
      </c>
      <c r="E71">
        <v>0.13200000000000001</v>
      </c>
      <c r="F71" s="5">
        <f t="shared" si="2"/>
        <v>0.17130000000000001</v>
      </c>
      <c r="G71">
        <v>1</v>
      </c>
      <c r="H71">
        <f t="shared" si="3"/>
        <v>171.3</v>
      </c>
    </row>
    <row r="72" spans="1:8">
      <c r="A72" s="1" t="s">
        <v>35</v>
      </c>
      <c r="B72" s="1" t="s">
        <v>30</v>
      </c>
      <c r="C72" s="1" t="s">
        <v>26</v>
      </c>
      <c r="D72">
        <v>0.46189999999999998</v>
      </c>
      <c r="E72">
        <v>0.214</v>
      </c>
      <c r="F72" s="5">
        <f t="shared" si="2"/>
        <v>0.24789999999999998</v>
      </c>
      <c r="G72">
        <v>1</v>
      </c>
      <c r="H72">
        <f t="shared" si="3"/>
        <v>247.89999999999998</v>
      </c>
    </row>
    <row r="73" spans="1:8">
      <c r="A73" s="1" t="s">
        <v>35</v>
      </c>
      <c r="B73" s="1" t="s">
        <v>30</v>
      </c>
      <c r="C73" s="1" t="s">
        <v>27</v>
      </c>
      <c r="D73">
        <v>0.40939999999999999</v>
      </c>
      <c r="E73">
        <v>0.189</v>
      </c>
      <c r="F73" s="5">
        <f t="shared" si="2"/>
        <v>0.22039999999999998</v>
      </c>
      <c r="G73">
        <v>1</v>
      </c>
      <c r="H73">
        <f t="shared" si="3"/>
        <v>220.39999999999998</v>
      </c>
    </row>
    <row r="74" spans="1:8">
      <c r="A74" s="1" t="s">
        <v>35</v>
      </c>
      <c r="B74" s="1" t="s">
        <v>31</v>
      </c>
      <c r="C74" s="1" t="s">
        <v>5</v>
      </c>
      <c r="D74">
        <v>0.37359999999999999</v>
      </c>
      <c r="E74">
        <v>0.16</v>
      </c>
      <c r="F74" s="5">
        <f t="shared" si="2"/>
        <v>0.21359999999999998</v>
      </c>
      <c r="G74">
        <v>1</v>
      </c>
      <c r="H74">
        <f t="shared" si="3"/>
        <v>213.6</v>
      </c>
    </row>
    <row r="75" spans="1:8">
      <c r="A75" s="1" t="s">
        <v>35</v>
      </c>
      <c r="B75" s="1" t="s">
        <v>31</v>
      </c>
      <c r="C75" s="1" t="s">
        <v>6</v>
      </c>
      <c r="D75">
        <v>0.3624</v>
      </c>
      <c r="E75">
        <v>0.16800000000000001</v>
      </c>
      <c r="F75" s="5">
        <f t="shared" si="2"/>
        <v>0.19439999999999999</v>
      </c>
      <c r="G75">
        <v>1</v>
      </c>
      <c r="H75">
        <f t="shared" si="3"/>
        <v>194.39999999999998</v>
      </c>
    </row>
    <row r="76" spans="1:8">
      <c r="A76" s="1" t="s">
        <v>35</v>
      </c>
      <c r="B76" s="1" t="s">
        <v>31</v>
      </c>
      <c r="C76" s="1" t="s">
        <v>7</v>
      </c>
      <c r="D76">
        <v>0.31659999999999999</v>
      </c>
      <c r="E76">
        <v>0.13700000000000001</v>
      </c>
      <c r="F76" s="5">
        <f t="shared" si="2"/>
        <v>0.17959999999999998</v>
      </c>
      <c r="G76">
        <v>1</v>
      </c>
      <c r="H76">
        <f t="shared" si="3"/>
        <v>179.6</v>
      </c>
    </row>
    <row r="77" spans="1:8">
      <c r="A77" s="1" t="s">
        <v>35</v>
      </c>
      <c r="B77" s="1" t="s">
        <v>31</v>
      </c>
      <c r="C77" s="1" t="s">
        <v>9</v>
      </c>
      <c r="D77">
        <v>0.30580000000000002</v>
      </c>
      <c r="E77">
        <v>0.128</v>
      </c>
      <c r="F77" s="5">
        <f t="shared" si="2"/>
        <v>0.17780000000000001</v>
      </c>
      <c r="G77">
        <v>1</v>
      </c>
      <c r="H77">
        <f t="shared" si="3"/>
        <v>177.8</v>
      </c>
    </row>
    <row r="78" spans="1:8">
      <c r="A78" s="1" t="s">
        <v>35</v>
      </c>
      <c r="B78" s="1" t="s">
        <v>31</v>
      </c>
      <c r="C78" s="1" t="s">
        <v>10</v>
      </c>
      <c r="D78">
        <v>0.32719999999999999</v>
      </c>
      <c r="E78">
        <v>0.14199999999999999</v>
      </c>
      <c r="F78" s="5">
        <f t="shared" si="2"/>
        <v>0.1852</v>
      </c>
      <c r="G78">
        <v>1</v>
      </c>
      <c r="H78">
        <f t="shared" si="3"/>
        <v>185.20000000000002</v>
      </c>
    </row>
    <row r="79" spans="1:8">
      <c r="A79" s="1" t="s">
        <v>35</v>
      </c>
      <c r="B79" s="1" t="s">
        <v>31</v>
      </c>
      <c r="C79" s="1" t="s">
        <v>11</v>
      </c>
      <c r="D79">
        <v>0.30149999999999999</v>
      </c>
      <c r="E79">
        <v>0.129</v>
      </c>
      <c r="F79" s="5">
        <f t="shared" si="2"/>
        <v>0.17249999999999999</v>
      </c>
      <c r="G79">
        <v>1</v>
      </c>
      <c r="H79">
        <f t="shared" si="3"/>
        <v>172.5</v>
      </c>
    </row>
    <row r="80" spans="1:8">
      <c r="A80" s="1" t="s">
        <v>35</v>
      </c>
      <c r="B80" s="1" t="s">
        <v>31</v>
      </c>
      <c r="C80" s="1" t="s">
        <v>13</v>
      </c>
      <c r="D80">
        <v>0.33129999999999998</v>
      </c>
      <c r="E80">
        <v>0.14000000000000001</v>
      </c>
      <c r="F80" s="5">
        <f t="shared" si="2"/>
        <v>0.19129999999999997</v>
      </c>
      <c r="G80">
        <v>1</v>
      </c>
      <c r="H80">
        <f t="shared" si="3"/>
        <v>191.29999999999998</v>
      </c>
    </row>
    <row r="81" spans="1:8">
      <c r="A81" s="1" t="s">
        <v>35</v>
      </c>
      <c r="B81" s="1" t="s">
        <v>31</v>
      </c>
      <c r="C81" s="1" t="s">
        <v>14</v>
      </c>
      <c r="D81">
        <v>0.32379999999999998</v>
      </c>
      <c r="E81">
        <v>0.14000000000000001</v>
      </c>
      <c r="F81" s="5">
        <f t="shared" si="2"/>
        <v>0.18379999999999996</v>
      </c>
      <c r="G81">
        <v>1</v>
      </c>
      <c r="H81">
        <f t="shared" si="3"/>
        <v>183.79999999999995</v>
      </c>
    </row>
    <row r="82" spans="1:8">
      <c r="A82" s="1" t="s">
        <v>35</v>
      </c>
      <c r="B82" s="1" t="s">
        <v>31</v>
      </c>
      <c r="C82" s="1" t="s">
        <v>15</v>
      </c>
      <c r="D82">
        <v>0.57579999999999998</v>
      </c>
      <c r="E82">
        <v>0.28100000000000003</v>
      </c>
      <c r="F82" s="5">
        <f t="shared" si="2"/>
        <v>0.29479999999999995</v>
      </c>
      <c r="G82">
        <v>1</v>
      </c>
      <c r="H82">
        <f t="shared" si="3"/>
        <v>294.79999999999995</v>
      </c>
    </row>
    <row r="83" spans="1:8">
      <c r="A83" s="1" t="s">
        <v>35</v>
      </c>
      <c r="B83" s="1" t="s">
        <v>31</v>
      </c>
      <c r="C83" s="1" t="s">
        <v>17</v>
      </c>
      <c r="D83">
        <v>0.40339999999999998</v>
      </c>
      <c r="E83">
        <v>0.186</v>
      </c>
      <c r="F83" s="5">
        <f t="shared" si="2"/>
        <v>0.21739999999999998</v>
      </c>
      <c r="G83">
        <v>1</v>
      </c>
      <c r="H83">
        <f t="shared" si="3"/>
        <v>217.39999999999998</v>
      </c>
    </row>
    <row r="84" spans="1:8">
      <c r="A84" s="1" t="s">
        <v>35</v>
      </c>
      <c r="B84" s="1" t="s">
        <v>31</v>
      </c>
      <c r="C84" s="1" t="s">
        <v>18</v>
      </c>
      <c r="D84">
        <v>0.34760000000000002</v>
      </c>
      <c r="E84">
        <v>0.151</v>
      </c>
      <c r="F84" s="5">
        <f t="shared" si="2"/>
        <v>0.19660000000000002</v>
      </c>
      <c r="G84">
        <v>1</v>
      </c>
      <c r="H84">
        <f t="shared" si="3"/>
        <v>196.60000000000002</v>
      </c>
    </row>
    <row r="85" spans="1:8">
      <c r="A85" s="1" t="s">
        <v>35</v>
      </c>
      <c r="B85" s="1" t="s">
        <v>31</v>
      </c>
      <c r="C85" s="1" t="s">
        <v>19</v>
      </c>
      <c r="D85">
        <v>0.36959999999999998</v>
      </c>
      <c r="E85">
        <v>0.16400000000000001</v>
      </c>
      <c r="F85" s="5">
        <f t="shared" si="2"/>
        <v>0.20559999999999998</v>
      </c>
      <c r="G85">
        <v>1</v>
      </c>
      <c r="H85">
        <f t="shared" si="3"/>
        <v>205.59999999999997</v>
      </c>
    </row>
    <row r="86" spans="1:8">
      <c r="A86" s="1" t="s">
        <v>35</v>
      </c>
      <c r="B86" s="1" t="s">
        <v>31</v>
      </c>
      <c r="C86" s="1" t="s">
        <v>21</v>
      </c>
      <c r="D86">
        <v>0.34939999999999999</v>
      </c>
      <c r="E86">
        <v>0.158</v>
      </c>
      <c r="F86" s="5">
        <f t="shared" si="2"/>
        <v>0.19139999999999999</v>
      </c>
      <c r="G86">
        <v>1</v>
      </c>
      <c r="H86">
        <f t="shared" si="3"/>
        <v>191.39999999999998</v>
      </c>
    </row>
    <row r="87" spans="1:8">
      <c r="A87" s="1" t="s">
        <v>35</v>
      </c>
      <c r="B87" s="1" t="s">
        <v>31</v>
      </c>
      <c r="C87" s="1" t="s">
        <v>22</v>
      </c>
      <c r="D87">
        <v>0.4501</v>
      </c>
      <c r="E87">
        <v>0.20699999999999999</v>
      </c>
      <c r="F87" s="5">
        <f t="shared" si="2"/>
        <v>0.24310000000000001</v>
      </c>
      <c r="G87">
        <v>1</v>
      </c>
      <c r="H87">
        <f t="shared" si="3"/>
        <v>243.10000000000002</v>
      </c>
    </row>
    <row r="88" spans="1:8">
      <c r="A88" s="1" t="s">
        <v>35</v>
      </c>
      <c r="B88" s="1" t="s">
        <v>31</v>
      </c>
      <c r="C88" s="1" t="s">
        <v>23</v>
      </c>
      <c r="D88">
        <v>0.439</v>
      </c>
      <c r="E88">
        <v>0.20300000000000001</v>
      </c>
      <c r="F88" s="5">
        <f t="shared" si="2"/>
        <v>0.23599999999999999</v>
      </c>
      <c r="G88">
        <v>1</v>
      </c>
      <c r="H88">
        <f t="shared" si="3"/>
        <v>236</v>
      </c>
    </row>
    <row r="89" spans="1:8">
      <c r="A89" s="1" t="s">
        <v>35</v>
      </c>
      <c r="B89" s="1" t="s">
        <v>31</v>
      </c>
      <c r="C89" s="1" t="s">
        <v>25</v>
      </c>
      <c r="D89">
        <v>0.41439999999999999</v>
      </c>
      <c r="E89">
        <v>0.193</v>
      </c>
      <c r="F89" s="5">
        <f t="shared" si="2"/>
        <v>0.22139999999999999</v>
      </c>
      <c r="G89">
        <v>1</v>
      </c>
      <c r="H89">
        <f t="shared" si="3"/>
        <v>221.39999999999998</v>
      </c>
    </row>
    <row r="90" spans="1:8">
      <c r="A90" s="1" t="s">
        <v>35</v>
      </c>
      <c r="B90" s="1" t="s">
        <v>31</v>
      </c>
      <c r="C90" s="1" t="s">
        <v>26</v>
      </c>
      <c r="D90">
        <v>0.48920000000000002</v>
      </c>
      <c r="E90">
        <v>0.23300000000000001</v>
      </c>
      <c r="F90" s="5">
        <f t="shared" si="2"/>
        <v>0.25619999999999998</v>
      </c>
      <c r="G90">
        <v>1</v>
      </c>
      <c r="H90">
        <f t="shared" si="3"/>
        <v>256.2</v>
      </c>
    </row>
    <row r="91" spans="1:8">
      <c r="A91" s="1" t="s">
        <v>35</v>
      </c>
      <c r="B91" s="1" t="s">
        <v>31</v>
      </c>
      <c r="C91" s="1" t="s">
        <v>27</v>
      </c>
      <c r="D91">
        <v>0.41099999999999998</v>
      </c>
      <c r="E91">
        <v>0.19400000000000001</v>
      </c>
      <c r="F91" s="5">
        <f t="shared" si="2"/>
        <v>0.21699999999999997</v>
      </c>
      <c r="G91">
        <v>1</v>
      </c>
      <c r="H91">
        <f t="shared" si="3"/>
        <v>216.99999999999997</v>
      </c>
    </row>
    <row r="92" spans="1:8">
      <c r="A92" s="1" t="s">
        <v>35</v>
      </c>
      <c r="B92" s="1" t="s">
        <v>32</v>
      </c>
      <c r="C92" s="2" t="s">
        <v>4</v>
      </c>
      <c r="D92">
        <v>0.35160000000000002</v>
      </c>
      <c r="E92">
        <v>0.153</v>
      </c>
      <c r="F92" s="5">
        <f t="shared" si="2"/>
        <v>0.19860000000000003</v>
      </c>
      <c r="G92">
        <v>1</v>
      </c>
      <c r="H92">
        <f t="shared" si="3"/>
        <v>198.60000000000002</v>
      </c>
    </row>
    <row r="93" spans="1:8">
      <c r="A93" s="1" t="s">
        <v>35</v>
      </c>
      <c r="B93" s="1" t="s">
        <v>32</v>
      </c>
      <c r="C93" s="2" t="s">
        <v>6</v>
      </c>
      <c r="D93">
        <v>0.47639999999999999</v>
      </c>
      <c r="E93">
        <v>0.216</v>
      </c>
      <c r="F93" s="5">
        <f t="shared" si="2"/>
        <v>0.26039999999999996</v>
      </c>
      <c r="G93">
        <v>1</v>
      </c>
      <c r="H93">
        <f t="shared" si="3"/>
        <v>260.39999999999998</v>
      </c>
    </row>
    <row r="94" spans="1:8">
      <c r="A94" s="1" t="s">
        <v>35</v>
      </c>
      <c r="B94" s="1" t="s">
        <v>32</v>
      </c>
      <c r="C94" s="2" t="s">
        <v>7</v>
      </c>
      <c r="D94">
        <v>0.77159999999999995</v>
      </c>
      <c r="E94">
        <v>0.33100000000000002</v>
      </c>
      <c r="F94" s="5">
        <f t="shared" si="2"/>
        <v>0.44059999999999994</v>
      </c>
      <c r="G94">
        <v>1</v>
      </c>
      <c r="H94">
        <f t="shared" si="3"/>
        <v>440.59999999999991</v>
      </c>
    </row>
    <row r="95" spans="1:8">
      <c r="A95" s="1" t="s">
        <v>35</v>
      </c>
      <c r="B95" s="1" t="s">
        <v>32</v>
      </c>
      <c r="C95" s="2" t="s">
        <v>8</v>
      </c>
      <c r="D95">
        <v>0.41799999999999998</v>
      </c>
      <c r="E95">
        <v>0.17399999999999999</v>
      </c>
      <c r="F95" s="5">
        <f t="shared" si="2"/>
        <v>0.24399999999999999</v>
      </c>
      <c r="G95">
        <v>1</v>
      </c>
      <c r="H95">
        <f t="shared" si="3"/>
        <v>244</v>
      </c>
    </row>
    <row r="96" spans="1:8">
      <c r="A96" s="1" t="s">
        <v>35</v>
      </c>
      <c r="B96" s="1" t="s">
        <v>32</v>
      </c>
      <c r="C96" s="2" t="s">
        <v>10</v>
      </c>
      <c r="D96">
        <v>0.45090000000000002</v>
      </c>
      <c r="E96">
        <v>0.19</v>
      </c>
      <c r="F96" s="5">
        <f t="shared" si="2"/>
        <v>0.26090000000000002</v>
      </c>
      <c r="G96">
        <v>1</v>
      </c>
      <c r="H96">
        <f t="shared" si="3"/>
        <v>260.90000000000003</v>
      </c>
    </row>
    <row r="97" spans="1:8">
      <c r="A97" s="1" t="s">
        <v>35</v>
      </c>
      <c r="B97" s="1" t="s">
        <v>32</v>
      </c>
      <c r="C97" s="2" t="s">
        <v>11</v>
      </c>
      <c r="D97">
        <v>0.47649999999999998</v>
      </c>
      <c r="E97">
        <v>0.214</v>
      </c>
      <c r="F97" s="5">
        <f t="shared" si="2"/>
        <v>0.26249999999999996</v>
      </c>
      <c r="G97">
        <v>1</v>
      </c>
      <c r="H97">
        <f t="shared" si="3"/>
        <v>262.49999999999994</v>
      </c>
    </row>
    <row r="98" spans="1:8">
      <c r="A98" s="1" t="s">
        <v>35</v>
      </c>
      <c r="B98" s="1" t="s">
        <v>32</v>
      </c>
      <c r="C98" s="2" t="s">
        <v>12</v>
      </c>
      <c r="D98">
        <v>0.43730000000000002</v>
      </c>
      <c r="E98">
        <v>0.18099999999999999</v>
      </c>
      <c r="F98" s="5">
        <f t="shared" si="2"/>
        <v>0.25630000000000003</v>
      </c>
      <c r="G98">
        <v>1</v>
      </c>
      <c r="H98">
        <f t="shared" si="3"/>
        <v>256.3</v>
      </c>
    </row>
    <row r="99" spans="1:8">
      <c r="A99" s="1" t="s">
        <v>35</v>
      </c>
      <c r="B99" s="1" t="s">
        <v>32</v>
      </c>
      <c r="C99" s="2" t="s">
        <v>14</v>
      </c>
      <c r="D99">
        <v>0.27539999999999998</v>
      </c>
      <c r="E99">
        <v>0.109</v>
      </c>
      <c r="F99" s="5">
        <f t="shared" si="2"/>
        <v>0.16639999999999999</v>
      </c>
      <c r="G99">
        <v>1</v>
      </c>
      <c r="H99">
        <f t="shared" si="3"/>
        <v>166.4</v>
      </c>
    </row>
    <row r="100" spans="1:8">
      <c r="A100" s="1" t="s">
        <v>35</v>
      </c>
      <c r="B100" s="1" t="s">
        <v>32</v>
      </c>
      <c r="C100" s="2" t="s">
        <v>15</v>
      </c>
      <c r="D100">
        <v>0.40460000000000002</v>
      </c>
      <c r="E100">
        <v>0.16600000000000001</v>
      </c>
      <c r="F100" s="5">
        <f t="shared" si="2"/>
        <v>0.23860000000000001</v>
      </c>
      <c r="G100">
        <v>1</v>
      </c>
      <c r="H100">
        <f t="shared" si="3"/>
        <v>238.6</v>
      </c>
    </row>
    <row r="101" spans="1:8">
      <c r="A101" s="1" t="s">
        <v>35</v>
      </c>
      <c r="B101" s="1" t="s">
        <v>32</v>
      </c>
      <c r="C101" s="2" t="s">
        <v>16</v>
      </c>
      <c r="D101">
        <v>0.4834</v>
      </c>
      <c r="E101">
        <v>0.224</v>
      </c>
      <c r="F101" s="5">
        <f t="shared" si="2"/>
        <v>0.25939999999999996</v>
      </c>
      <c r="G101">
        <v>1</v>
      </c>
      <c r="H101">
        <f t="shared" si="3"/>
        <v>259.39999999999998</v>
      </c>
    </row>
    <row r="102" spans="1:8">
      <c r="A102" s="1" t="s">
        <v>35</v>
      </c>
      <c r="B102" s="1" t="s">
        <v>32</v>
      </c>
      <c r="C102" s="2" t="s">
        <v>18</v>
      </c>
      <c r="D102">
        <v>1.0892999999999999</v>
      </c>
      <c r="E102">
        <v>0.50900000000000001</v>
      </c>
      <c r="F102" s="5">
        <f t="shared" si="2"/>
        <v>0.58029999999999993</v>
      </c>
      <c r="G102">
        <v>1</v>
      </c>
      <c r="H102">
        <f t="shared" si="3"/>
        <v>580.29999999999995</v>
      </c>
    </row>
    <row r="103" spans="1:8">
      <c r="A103" s="1" t="s">
        <v>35</v>
      </c>
      <c r="B103" s="1" t="s">
        <v>32</v>
      </c>
      <c r="C103" s="2" t="s">
        <v>19</v>
      </c>
      <c r="D103">
        <v>0.37359999999999999</v>
      </c>
      <c r="E103">
        <v>0.157</v>
      </c>
      <c r="F103" s="5">
        <f t="shared" si="2"/>
        <v>0.21659999999999999</v>
      </c>
      <c r="G103">
        <v>1</v>
      </c>
      <c r="H103">
        <f t="shared" si="3"/>
        <v>216.6</v>
      </c>
    </row>
    <row r="104" spans="1:8">
      <c r="A104" s="1" t="s">
        <v>35</v>
      </c>
      <c r="B104" s="1" t="s">
        <v>32</v>
      </c>
      <c r="C104" s="2" t="s">
        <v>20</v>
      </c>
      <c r="D104">
        <v>0.54020000000000001</v>
      </c>
      <c r="E104">
        <v>0.248</v>
      </c>
      <c r="F104" s="5">
        <f t="shared" si="2"/>
        <v>0.29220000000000002</v>
      </c>
      <c r="G104">
        <v>1</v>
      </c>
      <c r="H104">
        <f t="shared" si="3"/>
        <v>292.2</v>
      </c>
    </row>
    <row r="105" spans="1:8">
      <c r="A105" s="1" t="s">
        <v>35</v>
      </c>
      <c r="B105" s="1" t="s">
        <v>32</v>
      </c>
      <c r="C105" s="2" t="s">
        <v>22</v>
      </c>
      <c r="D105">
        <v>0.47110000000000002</v>
      </c>
      <c r="E105">
        <v>0.21099999999999999</v>
      </c>
      <c r="F105" s="5">
        <f t="shared" si="2"/>
        <v>0.2601</v>
      </c>
      <c r="G105">
        <v>1</v>
      </c>
      <c r="H105">
        <f t="shared" si="3"/>
        <v>260.10000000000002</v>
      </c>
    </row>
    <row r="106" spans="1:8">
      <c r="A106" s="1" t="s">
        <v>35</v>
      </c>
      <c r="B106" s="1" t="s">
        <v>32</v>
      </c>
      <c r="C106" s="2" t="s">
        <v>23</v>
      </c>
      <c r="D106">
        <v>0.54590000000000005</v>
      </c>
      <c r="E106">
        <v>0.25</v>
      </c>
      <c r="F106" s="5">
        <f t="shared" si="2"/>
        <v>0.29590000000000005</v>
      </c>
      <c r="G106">
        <v>1</v>
      </c>
      <c r="H106">
        <f t="shared" si="3"/>
        <v>295.90000000000003</v>
      </c>
    </row>
    <row r="107" spans="1:8">
      <c r="A107" s="1" t="s">
        <v>35</v>
      </c>
      <c r="B107" s="1" t="s">
        <v>32</v>
      </c>
      <c r="C107" s="2" t="s">
        <v>24</v>
      </c>
      <c r="D107">
        <v>0.56220000000000003</v>
      </c>
      <c r="E107">
        <v>0.247</v>
      </c>
      <c r="F107" s="5">
        <f t="shared" si="2"/>
        <v>0.31520000000000004</v>
      </c>
      <c r="G107">
        <v>1</v>
      </c>
      <c r="H107">
        <f t="shared" si="3"/>
        <v>315.20000000000005</v>
      </c>
    </row>
    <row r="108" spans="1:8">
      <c r="A108" s="1" t="s">
        <v>35</v>
      </c>
      <c r="B108" s="1" t="s">
        <v>32</v>
      </c>
      <c r="C108" s="2" t="s">
        <v>26</v>
      </c>
      <c r="D108">
        <v>0.36309999999999998</v>
      </c>
      <c r="E108">
        <v>0.14399999999999999</v>
      </c>
      <c r="F108" s="5">
        <f t="shared" si="2"/>
        <v>0.21909999999999999</v>
      </c>
      <c r="G108">
        <v>1</v>
      </c>
      <c r="H108">
        <f t="shared" si="3"/>
        <v>219.1</v>
      </c>
    </row>
    <row r="109" spans="1:8">
      <c r="A109" s="1" t="s">
        <v>35</v>
      </c>
      <c r="B109" s="1" t="s">
        <v>32</v>
      </c>
      <c r="C109" s="2" t="s">
        <v>27</v>
      </c>
      <c r="D109">
        <v>0.433</v>
      </c>
      <c r="E109">
        <v>0.184</v>
      </c>
      <c r="F109" s="5">
        <f t="shared" si="2"/>
        <v>0.249</v>
      </c>
      <c r="G109">
        <v>1</v>
      </c>
      <c r="H109">
        <f t="shared" si="3"/>
        <v>249</v>
      </c>
    </row>
    <row r="110" spans="1:8">
      <c r="A110" s="1" t="s">
        <v>35</v>
      </c>
      <c r="B110" s="1" t="s">
        <v>33</v>
      </c>
      <c r="C110" s="2" t="s">
        <v>4</v>
      </c>
      <c r="D110">
        <v>0.75029999999999997</v>
      </c>
      <c r="E110">
        <v>0.34200000000000003</v>
      </c>
      <c r="F110" s="5">
        <f t="shared" si="2"/>
        <v>0.40829999999999994</v>
      </c>
      <c r="G110">
        <v>1</v>
      </c>
      <c r="H110">
        <f t="shared" si="3"/>
        <v>408.29999999999995</v>
      </c>
    </row>
    <row r="111" spans="1:8">
      <c r="A111" s="1" t="s">
        <v>35</v>
      </c>
      <c r="B111" s="1" t="s">
        <v>33</v>
      </c>
      <c r="C111" s="2" t="s">
        <v>6</v>
      </c>
      <c r="D111">
        <v>0.3987</v>
      </c>
      <c r="E111">
        <v>0.156</v>
      </c>
      <c r="F111" s="5">
        <f t="shared" si="2"/>
        <v>0.2427</v>
      </c>
      <c r="G111">
        <v>1</v>
      </c>
      <c r="H111">
        <f t="shared" si="3"/>
        <v>242.7</v>
      </c>
    </row>
    <row r="112" spans="1:8">
      <c r="A112" s="1" t="s">
        <v>35</v>
      </c>
      <c r="B112" s="1" t="s">
        <v>33</v>
      </c>
      <c r="C112" s="2" t="s">
        <v>7</v>
      </c>
      <c r="D112">
        <v>0.86429999999999996</v>
      </c>
      <c r="E112">
        <v>0.38</v>
      </c>
      <c r="F112" s="5">
        <f t="shared" si="2"/>
        <v>0.48429999999999995</v>
      </c>
      <c r="G112">
        <v>1</v>
      </c>
      <c r="H112">
        <f t="shared" si="3"/>
        <v>484.29999999999995</v>
      </c>
    </row>
    <row r="113" spans="1:8">
      <c r="A113" s="1" t="s">
        <v>35</v>
      </c>
      <c r="B113" s="1" t="s">
        <v>33</v>
      </c>
      <c r="C113" s="2" t="s">
        <v>8</v>
      </c>
      <c r="D113">
        <v>0.37159999999999999</v>
      </c>
      <c r="E113">
        <v>0.14399999999999999</v>
      </c>
      <c r="F113" s="5">
        <f t="shared" si="2"/>
        <v>0.2276</v>
      </c>
      <c r="G113">
        <v>1</v>
      </c>
      <c r="H113">
        <f t="shared" si="3"/>
        <v>227.6</v>
      </c>
    </row>
    <row r="114" spans="1:8">
      <c r="A114" s="1" t="s">
        <v>35</v>
      </c>
      <c r="B114" s="1" t="s">
        <v>33</v>
      </c>
      <c r="C114" s="2" t="s">
        <v>10</v>
      </c>
      <c r="D114">
        <v>0.60189999999999999</v>
      </c>
      <c r="E114">
        <v>0.25600000000000001</v>
      </c>
      <c r="F114" s="5">
        <f t="shared" si="2"/>
        <v>0.34589999999999999</v>
      </c>
      <c r="G114">
        <v>1</v>
      </c>
      <c r="H114">
        <f t="shared" si="3"/>
        <v>345.9</v>
      </c>
    </row>
    <row r="115" spans="1:8">
      <c r="A115" s="1" t="s">
        <v>35</v>
      </c>
      <c r="B115" s="1" t="s">
        <v>33</v>
      </c>
      <c r="C115" s="2" t="s">
        <v>11</v>
      </c>
      <c r="D115">
        <v>0.5514</v>
      </c>
      <c r="E115">
        <v>0.22500000000000001</v>
      </c>
      <c r="F115" s="5">
        <f t="shared" si="2"/>
        <v>0.32640000000000002</v>
      </c>
      <c r="G115">
        <v>1</v>
      </c>
      <c r="H115">
        <f t="shared" si="3"/>
        <v>326.40000000000003</v>
      </c>
    </row>
    <row r="116" spans="1:8">
      <c r="A116" s="1" t="s">
        <v>35</v>
      </c>
      <c r="B116" s="1" t="s">
        <v>33</v>
      </c>
      <c r="C116" s="2" t="s">
        <v>12</v>
      </c>
      <c r="D116">
        <v>0.58940000000000003</v>
      </c>
      <c r="E116">
        <v>0.23899999999999999</v>
      </c>
      <c r="F116" s="5">
        <f t="shared" si="2"/>
        <v>0.35040000000000004</v>
      </c>
      <c r="G116">
        <v>1</v>
      </c>
      <c r="H116">
        <f t="shared" si="3"/>
        <v>350.40000000000003</v>
      </c>
    </row>
    <row r="117" spans="1:8">
      <c r="A117" s="1" t="s">
        <v>35</v>
      </c>
      <c r="B117" s="1" t="s">
        <v>33</v>
      </c>
      <c r="C117" s="2" t="s">
        <v>14</v>
      </c>
      <c r="D117">
        <v>0.4612</v>
      </c>
      <c r="E117">
        <v>0.182</v>
      </c>
      <c r="F117" s="5">
        <f t="shared" si="2"/>
        <v>0.2792</v>
      </c>
      <c r="G117">
        <v>1</v>
      </c>
      <c r="H117">
        <f t="shared" si="3"/>
        <v>279.2</v>
      </c>
    </row>
    <row r="118" spans="1:8">
      <c r="A118" s="1" t="s">
        <v>35</v>
      </c>
      <c r="B118" s="1" t="s">
        <v>33</v>
      </c>
      <c r="C118" s="2" t="s">
        <v>15</v>
      </c>
      <c r="D118">
        <v>0.62629999999999997</v>
      </c>
      <c r="E118">
        <v>0.24299999999999999</v>
      </c>
      <c r="F118" s="5">
        <f t="shared" si="2"/>
        <v>0.38329999999999997</v>
      </c>
      <c r="G118">
        <v>1</v>
      </c>
      <c r="H118">
        <f t="shared" si="3"/>
        <v>383.29999999999995</v>
      </c>
    </row>
    <row r="119" spans="1:8">
      <c r="A119" s="1" t="s">
        <v>35</v>
      </c>
      <c r="B119" s="1" t="s">
        <v>33</v>
      </c>
      <c r="C119" s="2" t="s">
        <v>16</v>
      </c>
      <c r="D119">
        <v>0.55089999999999995</v>
      </c>
      <c r="E119">
        <v>0.218</v>
      </c>
      <c r="F119" s="5">
        <f t="shared" si="2"/>
        <v>0.33289999999999997</v>
      </c>
      <c r="G119">
        <v>1</v>
      </c>
      <c r="H119">
        <f t="shared" si="3"/>
        <v>332.9</v>
      </c>
    </row>
    <row r="120" spans="1:8">
      <c r="A120" s="1" t="s">
        <v>35</v>
      </c>
      <c r="B120" s="1" t="s">
        <v>33</v>
      </c>
      <c r="C120" s="2" t="s">
        <v>18</v>
      </c>
      <c r="D120">
        <v>3.0438000000000001</v>
      </c>
      <c r="E120">
        <v>1.6479999999999999</v>
      </c>
      <c r="F120" s="5">
        <f t="shared" si="2"/>
        <v>1.3958000000000002</v>
      </c>
      <c r="G120">
        <v>1</v>
      </c>
      <c r="H120" s="3">
        <f t="shared" si="3"/>
        <v>1395.8000000000002</v>
      </c>
    </row>
    <row r="121" spans="1:8">
      <c r="A121" s="1" t="s">
        <v>35</v>
      </c>
      <c r="B121" s="1" t="s">
        <v>33</v>
      </c>
      <c r="C121" s="2" t="s">
        <v>19</v>
      </c>
      <c r="D121">
        <v>0.86919999999999997</v>
      </c>
      <c r="E121">
        <v>0.39500000000000002</v>
      </c>
      <c r="F121" s="5">
        <f t="shared" si="2"/>
        <v>0.47419999999999995</v>
      </c>
      <c r="G121">
        <v>1</v>
      </c>
      <c r="H121">
        <f t="shared" si="3"/>
        <v>474.19999999999993</v>
      </c>
    </row>
    <row r="122" spans="1:8">
      <c r="A122" s="1" t="s">
        <v>35</v>
      </c>
      <c r="B122" s="1" t="s">
        <v>33</v>
      </c>
      <c r="C122" s="2" t="s">
        <v>20</v>
      </c>
      <c r="D122">
        <v>0.51580000000000004</v>
      </c>
      <c r="E122">
        <v>0.22</v>
      </c>
      <c r="F122" s="5">
        <f t="shared" si="2"/>
        <v>0.29580000000000006</v>
      </c>
      <c r="G122">
        <v>1</v>
      </c>
      <c r="H122">
        <f t="shared" si="3"/>
        <v>295.80000000000007</v>
      </c>
    </row>
    <row r="123" spans="1:8">
      <c r="A123" s="1" t="s">
        <v>35</v>
      </c>
      <c r="B123" s="1" t="s">
        <v>33</v>
      </c>
      <c r="C123" s="2" t="s">
        <v>22</v>
      </c>
      <c r="D123">
        <v>0.81759999999999999</v>
      </c>
      <c r="E123">
        <v>0.34399999999999997</v>
      </c>
      <c r="F123" s="5">
        <f t="shared" si="2"/>
        <v>0.47360000000000002</v>
      </c>
      <c r="G123">
        <v>1</v>
      </c>
      <c r="H123">
        <f t="shared" si="3"/>
        <v>473.6</v>
      </c>
    </row>
    <row r="124" spans="1:8">
      <c r="A124" s="1" t="s">
        <v>35</v>
      </c>
      <c r="B124" s="1" t="s">
        <v>33</v>
      </c>
      <c r="C124" s="2" t="s">
        <v>23</v>
      </c>
      <c r="D124">
        <v>0.41860000000000003</v>
      </c>
      <c r="E124">
        <v>0.154</v>
      </c>
      <c r="F124" s="5">
        <f t="shared" si="2"/>
        <v>0.26460000000000006</v>
      </c>
      <c r="G124">
        <v>1</v>
      </c>
      <c r="H124">
        <f t="shared" si="3"/>
        <v>264.60000000000008</v>
      </c>
    </row>
    <row r="125" spans="1:8">
      <c r="A125" s="1" t="s">
        <v>35</v>
      </c>
      <c r="B125" s="1" t="s">
        <v>33</v>
      </c>
      <c r="C125" s="2" t="s">
        <v>24</v>
      </c>
      <c r="D125">
        <v>0.5272</v>
      </c>
      <c r="E125">
        <v>0.216</v>
      </c>
      <c r="F125" s="5">
        <f t="shared" si="2"/>
        <v>0.31120000000000003</v>
      </c>
      <c r="G125">
        <v>1</v>
      </c>
      <c r="H125">
        <f t="shared" si="3"/>
        <v>311.20000000000005</v>
      </c>
    </row>
    <row r="126" spans="1:8">
      <c r="A126" s="1" t="s">
        <v>35</v>
      </c>
      <c r="B126" s="1" t="s">
        <v>33</v>
      </c>
      <c r="C126" s="2" t="s">
        <v>26</v>
      </c>
      <c r="D126">
        <v>0.66720000000000002</v>
      </c>
      <c r="E126">
        <v>0.29599999999999999</v>
      </c>
      <c r="F126" s="5">
        <f t="shared" si="2"/>
        <v>0.37120000000000003</v>
      </c>
      <c r="G126">
        <v>1</v>
      </c>
      <c r="H126">
        <f t="shared" si="3"/>
        <v>371.20000000000005</v>
      </c>
    </row>
    <row r="127" spans="1:8">
      <c r="A127" s="1" t="s">
        <v>35</v>
      </c>
      <c r="B127" s="1" t="s">
        <v>33</v>
      </c>
      <c r="C127" s="2" t="s">
        <v>27</v>
      </c>
      <c r="D127">
        <v>1.1585000000000001</v>
      </c>
      <c r="E127">
        <v>0.49099999999999999</v>
      </c>
      <c r="F127" s="5">
        <f t="shared" si="2"/>
        <v>0.66750000000000009</v>
      </c>
      <c r="G127">
        <v>1</v>
      </c>
      <c r="H127">
        <f t="shared" si="3"/>
        <v>667.50000000000011</v>
      </c>
    </row>
    <row r="128" spans="1:8">
      <c r="A128" s="1" t="s">
        <v>35</v>
      </c>
      <c r="B128" s="1" t="s">
        <v>34</v>
      </c>
      <c r="C128" s="2" t="s">
        <v>4</v>
      </c>
      <c r="D128">
        <v>1.5047999999999999</v>
      </c>
      <c r="E128">
        <v>0.73299999999999998</v>
      </c>
      <c r="F128" s="5">
        <f t="shared" si="2"/>
        <v>0.77179999999999993</v>
      </c>
      <c r="G128">
        <v>1</v>
      </c>
      <c r="H128">
        <f t="shared" si="3"/>
        <v>771.8</v>
      </c>
    </row>
    <row r="129" spans="1:8">
      <c r="A129" s="1" t="s">
        <v>35</v>
      </c>
      <c r="B129" s="1" t="s">
        <v>34</v>
      </c>
      <c r="C129" s="2" t="s">
        <v>6</v>
      </c>
      <c r="D129">
        <v>0.59409999999999996</v>
      </c>
      <c r="E129">
        <v>0.255</v>
      </c>
      <c r="F129" s="5">
        <f t="shared" si="2"/>
        <v>0.33909999999999996</v>
      </c>
      <c r="G129">
        <v>1</v>
      </c>
      <c r="H129">
        <f t="shared" si="3"/>
        <v>339.09999999999997</v>
      </c>
    </row>
    <row r="130" spans="1:8">
      <c r="A130" s="1" t="s">
        <v>35</v>
      </c>
      <c r="B130" s="1" t="s">
        <v>34</v>
      </c>
      <c r="C130" s="2" t="s">
        <v>7</v>
      </c>
      <c r="D130">
        <v>0.56999999999999995</v>
      </c>
      <c r="E130">
        <v>0.23499999999999999</v>
      </c>
      <c r="F130" s="5">
        <f t="shared" si="2"/>
        <v>0.33499999999999996</v>
      </c>
      <c r="G130">
        <v>1</v>
      </c>
      <c r="H130">
        <f t="shared" si="3"/>
        <v>334.99999999999994</v>
      </c>
    </row>
    <row r="131" spans="1:8">
      <c r="A131" s="1" t="s">
        <v>35</v>
      </c>
      <c r="B131" s="1" t="s">
        <v>34</v>
      </c>
      <c r="C131" s="2" t="s">
        <v>8</v>
      </c>
      <c r="D131">
        <v>0.47089999999999999</v>
      </c>
      <c r="E131">
        <v>0.2</v>
      </c>
      <c r="F131" s="5">
        <f t="shared" ref="F131:F194" si="4">D131-E131</f>
        <v>0.27089999999999997</v>
      </c>
      <c r="G131">
        <v>1</v>
      </c>
      <c r="H131">
        <f t="shared" ref="H131:H194" si="5">F131*1000</f>
        <v>270.89999999999998</v>
      </c>
    </row>
    <row r="132" spans="1:8">
      <c r="A132" s="1" t="s">
        <v>35</v>
      </c>
      <c r="B132" s="1" t="s">
        <v>34</v>
      </c>
      <c r="C132" s="2" t="s">
        <v>10</v>
      </c>
      <c r="D132">
        <v>0.74409999999999998</v>
      </c>
      <c r="E132">
        <v>0.34699999999999998</v>
      </c>
      <c r="F132" s="5">
        <f t="shared" si="4"/>
        <v>0.39710000000000001</v>
      </c>
      <c r="G132">
        <v>1</v>
      </c>
      <c r="H132">
        <f t="shared" si="5"/>
        <v>397.1</v>
      </c>
    </row>
    <row r="133" spans="1:8">
      <c r="A133" s="1" t="s">
        <v>35</v>
      </c>
      <c r="B133" s="1" t="s">
        <v>34</v>
      </c>
      <c r="C133" s="2" t="s">
        <v>11</v>
      </c>
      <c r="D133">
        <v>0.69189999999999996</v>
      </c>
      <c r="E133">
        <v>0.30399999999999999</v>
      </c>
      <c r="F133" s="5">
        <f t="shared" si="4"/>
        <v>0.38789999999999997</v>
      </c>
      <c r="G133">
        <v>1</v>
      </c>
      <c r="H133">
        <f t="shared" si="5"/>
        <v>387.9</v>
      </c>
    </row>
    <row r="134" spans="1:8">
      <c r="A134" s="1" t="s">
        <v>35</v>
      </c>
      <c r="B134" s="1" t="s">
        <v>34</v>
      </c>
      <c r="C134" s="2" t="s">
        <v>12</v>
      </c>
      <c r="D134">
        <v>0.53720000000000001</v>
      </c>
      <c r="E134">
        <v>0.23200000000000001</v>
      </c>
      <c r="F134" s="5">
        <f t="shared" si="4"/>
        <v>0.30520000000000003</v>
      </c>
      <c r="G134">
        <v>1</v>
      </c>
      <c r="H134">
        <f t="shared" si="5"/>
        <v>305.20000000000005</v>
      </c>
    </row>
    <row r="135" spans="1:8">
      <c r="A135" s="1" t="s">
        <v>35</v>
      </c>
      <c r="B135" s="1" t="s">
        <v>34</v>
      </c>
      <c r="C135" s="2" t="s">
        <v>14</v>
      </c>
      <c r="D135">
        <v>0.53590000000000004</v>
      </c>
      <c r="E135">
        <v>0.22</v>
      </c>
      <c r="F135" s="5">
        <f t="shared" si="4"/>
        <v>0.31590000000000007</v>
      </c>
      <c r="G135">
        <v>1</v>
      </c>
      <c r="H135">
        <f t="shared" si="5"/>
        <v>315.90000000000009</v>
      </c>
    </row>
    <row r="136" spans="1:8">
      <c r="A136" s="1" t="s">
        <v>35</v>
      </c>
      <c r="B136" s="1" t="s">
        <v>34</v>
      </c>
      <c r="C136" s="2" t="s">
        <v>15</v>
      </c>
      <c r="D136">
        <v>0.70760000000000001</v>
      </c>
      <c r="E136">
        <v>0.33200000000000002</v>
      </c>
      <c r="F136" s="5">
        <f t="shared" si="4"/>
        <v>0.37559999999999999</v>
      </c>
      <c r="G136">
        <v>1</v>
      </c>
      <c r="H136">
        <f t="shared" si="5"/>
        <v>375.59999999999997</v>
      </c>
    </row>
    <row r="137" spans="1:8">
      <c r="A137" s="1" t="s">
        <v>35</v>
      </c>
      <c r="B137" s="1" t="s">
        <v>34</v>
      </c>
      <c r="C137" s="2" t="s">
        <v>16</v>
      </c>
      <c r="D137">
        <v>0.73629999999999995</v>
      </c>
      <c r="E137">
        <v>0.315</v>
      </c>
      <c r="F137" s="5">
        <f t="shared" si="4"/>
        <v>0.42129999999999995</v>
      </c>
      <c r="G137">
        <v>1</v>
      </c>
      <c r="H137">
        <f t="shared" si="5"/>
        <v>421.29999999999995</v>
      </c>
    </row>
    <row r="138" spans="1:8">
      <c r="A138" s="1" t="s">
        <v>35</v>
      </c>
      <c r="B138" s="1" t="s">
        <v>34</v>
      </c>
      <c r="C138" s="2" t="s">
        <v>18</v>
      </c>
      <c r="D138">
        <v>0.60850000000000004</v>
      </c>
      <c r="E138">
        <v>0.24399999999999999</v>
      </c>
      <c r="F138" s="5">
        <f t="shared" si="4"/>
        <v>0.36450000000000005</v>
      </c>
      <c r="G138">
        <v>1</v>
      </c>
      <c r="H138">
        <f t="shared" si="5"/>
        <v>364.50000000000006</v>
      </c>
    </row>
    <row r="139" spans="1:8">
      <c r="A139" s="1" t="s">
        <v>35</v>
      </c>
      <c r="B139" s="1" t="s">
        <v>34</v>
      </c>
      <c r="C139" s="2" t="s">
        <v>19</v>
      </c>
      <c r="D139">
        <v>0.72119999999999995</v>
      </c>
      <c r="E139">
        <v>0.32900000000000001</v>
      </c>
      <c r="F139" s="5">
        <f t="shared" si="4"/>
        <v>0.39219999999999994</v>
      </c>
      <c r="G139">
        <v>1</v>
      </c>
      <c r="H139">
        <f t="shared" si="5"/>
        <v>392.19999999999993</v>
      </c>
    </row>
    <row r="140" spans="1:8">
      <c r="A140" s="1" t="s">
        <v>35</v>
      </c>
      <c r="B140" s="1" t="s">
        <v>34</v>
      </c>
      <c r="C140" s="2" t="s">
        <v>20</v>
      </c>
      <c r="D140">
        <v>0.80300000000000005</v>
      </c>
      <c r="E140">
        <v>0.33</v>
      </c>
      <c r="F140" s="5">
        <f t="shared" si="4"/>
        <v>0.47300000000000003</v>
      </c>
      <c r="G140">
        <v>1</v>
      </c>
      <c r="H140">
        <f t="shared" si="5"/>
        <v>473.00000000000006</v>
      </c>
    </row>
    <row r="141" spans="1:8">
      <c r="A141" s="1" t="s">
        <v>35</v>
      </c>
      <c r="B141" s="1" t="s">
        <v>34</v>
      </c>
      <c r="C141" s="2" t="s">
        <v>22</v>
      </c>
      <c r="D141">
        <v>0.64229999999999998</v>
      </c>
      <c r="E141">
        <v>0.28399999999999997</v>
      </c>
      <c r="F141" s="5">
        <f t="shared" si="4"/>
        <v>0.35830000000000001</v>
      </c>
      <c r="G141">
        <v>1</v>
      </c>
      <c r="H141">
        <f t="shared" si="5"/>
        <v>358.3</v>
      </c>
    </row>
    <row r="142" spans="1:8">
      <c r="A142" s="1" t="s">
        <v>35</v>
      </c>
      <c r="B142" s="1" t="s">
        <v>34</v>
      </c>
      <c r="C142" s="2" t="s">
        <v>23</v>
      </c>
      <c r="D142">
        <v>0.57079999999999997</v>
      </c>
      <c r="E142">
        <v>0.25900000000000001</v>
      </c>
      <c r="F142" s="5">
        <f t="shared" si="4"/>
        <v>0.31179999999999997</v>
      </c>
      <c r="G142">
        <v>1</v>
      </c>
      <c r="H142">
        <f t="shared" si="5"/>
        <v>311.79999999999995</v>
      </c>
    </row>
    <row r="143" spans="1:8">
      <c r="A143" s="1" t="s">
        <v>35</v>
      </c>
      <c r="B143" s="1" t="s">
        <v>34</v>
      </c>
      <c r="C143" s="2" t="s">
        <v>24</v>
      </c>
      <c r="D143">
        <v>0.57920000000000005</v>
      </c>
      <c r="E143">
        <v>0.254</v>
      </c>
      <c r="F143" s="5">
        <f t="shared" si="4"/>
        <v>0.32520000000000004</v>
      </c>
      <c r="G143">
        <v>1</v>
      </c>
      <c r="H143">
        <f t="shared" si="5"/>
        <v>325.20000000000005</v>
      </c>
    </row>
    <row r="144" spans="1:8">
      <c r="A144" s="1" t="s">
        <v>35</v>
      </c>
      <c r="B144" s="1" t="s">
        <v>34</v>
      </c>
      <c r="C144" s="2" t="s">
        <v>26</v>
      </c>
      <c r="D144">
        <v>0.62039999999999995</v>
      </c>
      <c r="E144">
        <v>0.251</v>
      </c>
      <c r="F144" s="5">
        <f t="shared" si="4"/>
        <v>0.36939999999999995</v>
      </c>
      <c r="G144">
        <v>1</v>
      </c>
      <c r="H144">
        <f t="shared" si="5"/>
        <v>369.4</v>
      </c>
    </row>
    <row r="145" spans="1:8">
      <c r="A145" s="1" t="s">
        <v>35</v>
      </c>
      <c r="B145" s="1" t="s">
        <v>34</v>
      </c>
      <c r="C145" s="2" t="s">
        <v>27</v>
      </c>
      <c r="D145">
        <v>0.72950000000000004</v>
      </c>
      <c r="E145">
        <v>0.378</v>
      </c>
      <c r="F145" s="5">
        <f t="shared" si="4"/>
        <v>0.35150000000000003</v>
      </c>
      <c r="G145">
        <v>1</v>
      </c>
      <c r="H145">
        <f t="shared" si="5"/>
        <v>351.50000000000006</v>
      </c>
    </row>
    <row r="146" spans="1:8">
      <c r="A146" s="1" t="s">
        <v>36</v>
      </c>
      <c r="B146" s="1" t="s">
        <v>37</v>
      </c>
      <c r="C146" s="2" t="s">
        <v>4</v>
      </c>
      <c r="D146">
        <v>0.58150000000000002</v>
      </c>
      <c r="E146">
        <v>0.27300000000000002</v>
      </c>
      <c r="F146" s="5">
        <f t="shared" si="4"/>
        <v>0.3085</v>
      </c>
      <c r="G146">
        <v>1</v>
      </c>
      <c r="H146">
        <f t="shared" si="5"/>
        <v>308.5</v>
      </c>
    </row>
    <row r="147" spans="1:8">
      <c r="A147" s="1" t="s">
        <v>36</v>
      </c>
      <c r="B147" s="1" t="s">
        <v>37</v>
      </c>
      <c r="C147" s="2" t="s">
        <v>6</v>
      </c>
      <c r="D147">
        <v>0.3407</v>
      </c>
      <c r="E147">
        <v>0.15</v>
      </c>
      <c r="F147" s="5">
        <f t="shared" si="4"/>
        <v>0.19070000000000001</v>
      </c>
      <c r="G147">
        <v>1</v>
      </c>
      <c r="H147">
        <f t="shared" si="5"/>
        <v>190.70000000000002</v>
      </c>
    </row>
    <row r="148" spans="1:8">
      <c r="A148" s="1" t="s">
        <v>36</v>
      </c>
      <c r="B148" s="1" t="s">
        <v>37</v>
      </c>
      <c r="C148" s="2" t="s">
        <v>7</v>
      </c>
      <c r="D148">
        <v>0.68799999999999994</v>
      </c>
      <c r="E148">
        <v>0.318</v>
      </c>
      <c r="F148" s="5">
        <f t="shared" si="4"/>
        <v>0.36999999999999994</v>
      </c>
      <c r="G148">
        <v>1</v>
      </c>
      <c r="H148">
        <f t="shared" si="5"/>
        <v>369.99999999999994</v>
      </c>
    </row>
    <row r="149" spans="1:8">
      <c r="A149" s="1" t="s">
        <v>36</v>
      </c>
      <c r="B149" s="1" t="s">
        <v>37</v>
      </c>
      <c r="C149" s="2" t="s">
        <v>8</v>
      </c>
      <c r="D149">
        <v>0.42170000000000002</v>
      </c>
      <c r="E149">
        <v>0.184</v>
      </c>
      <c r="F149" s="5">
        <f t="shared" si="4"/>
        <v>0.23770000000000002</v>
      </c>
      <c r="G149">
        <v>1</v>
      </c>
      <c r="H149">
        <f t="shared" si="5"/>
        <v>237.70000000000002</v>
      </c>
    </row>
    <row r="150" spans="1:8">
      <c r="A150" s="1" t="s">
        <v>36</v>
      </c>
      <c r="B150" s="1" t="s">
        <v>37</v>
      </c>
      <c r="C150" s="2" t="s">
        <v>10</v>
      </c>
      <c r="D150">
        <v>0.34720000000000001</v>
      </c>
      <c r="E150">
        <v>0.154</v>
      </c>
      <c r="F150" s="5">
        <f t="shared" si="4"/>
        <v>0.19320000000000001</v>
      </c>
      <c r="G150">
        <v>1</v>
      </c>
      <c r="H150">
        <f t="shared" si="5"/>
        <v>193.20000000000002</v>
      </c>
    </row>
    <row r="151" spans="1:8">
      <c r="A151" s="1" t="s">
        <v>36</v>
      </c>
      <c r="B151" s="1" t="s">
        <v>37</v>
      </c>
      <c r="C151" s="2" t="s">
        <v>11</v>
      </c>
      <c r="D151">
        <v>0.30640000000000001</v>
      </c>
      <c r="E151">
        <v>0.126</v>
      </c>
      <c r="F151" s="5">
        <f t="shared" si="4"/>
        <v>0.1804</v>
      </c>
      <c r="G151">
        <v>1</v>
      </c>
      <c r="H151">
        <f t="shared" si="5"/>
        <v>180.4</v>
      </c>
    </row>
    <row r="152" spans="1:8">
      <c r="A152" s="1" t="s">
        <v>36</v>
      </c>
      <c r="B152" s="1" t="s">
        <v>37</v>
      </c>
      <c r="C152" s="2" t="s">
        <v>12</v>
      </c>
      <c r="D152">
        <v>0.25819999999999999</v>
      </c>
      <c r="E152">
        <v>0.115</v>
      </c>
      <c r="F152" s="5">
        <f t="shared" si="4"/>
        <v>0.14319999999999999</v>
      </c>
      <c r="G152">
        <v>1</v>
      </c>
      <c r="H152">
        <f t="shared" si="5"/>
        <v>143.19999999999999</v>
      </c>
    </row>
    <row r="153" spans="1:8">
      <c r="A153" s="1" t="s">
        <v>36</v>
      </c>
      <c r="B153" s="1" t="s">
        <v>37</v>
      </c>
      <c r="C153" s="2" t="s">
        <v>14</v>
      </c>
      <c r="D153">
        <v>0.29520000000000002</v>
      </c>
      <c r="E153">
        <v>0.13600000000000001</v>
      </c>
      <c r="F153" s="5">
        <f t="shared" si="4"/>
        <v>0.15920000000000001</v>
      </c>
      <c r="G153">
        <v>1</v>
      </c>
      <c r="H153">
        <f t="shared" si="5"/>
        <v>159.20000000000002</v>
      </c>
    </row>
    <row r="154" spans="1:8">
      <c r="A154" s="1" t="s">
        <v>36</v>
      </c>
      <c r="B154" s="1" t="s">
        <v>37</v>
      </c>
      <c r="C154" s="2" t="s">
        <v>15</v>
      </c>
      <c r="D154">
        <v>0.34289999999999998</v>
      </c>
      <c r="E154">
        <v>0.14199999999999999</v>
      </c>
      <c r="F154" s="5">
        <f t="shared" si="4"/>
        <v>0.2009</v>
      </c>
      <c r="G154">
        <v>1</v>
      </c>
      <c r="H154">
        <f t="shared" si="5"/>
        <v>200.9</v>
      </c>
    </row>
    <row r="155" spans="1:8">
      <c r="A155" s="1" t="s">
        <v>36</v>
      </c>
      <c r="B155" s="1" t="s">
        <v>37</v>
      </c>
      <c r="C155" s="2" t="s">
        <v>16</v>
      </c>
      <c r="D155">
        <v>0.43359999999999999</v>
      </c>
      <c r="E155">
        <v>0.186</v>
      </c>
      <c r="F155" s="5">
        <f t="shared" si="4"/>
        <v>0.24759999999999999</v>
      </c>
      <c r="G155">
        <v>1</v>
      </c>
      <c r="H155">
        <f t="shared" si="5"/>
        <v>247.6</v>
      </c>
    </row>
    <row r="156" spans="1:8">
      <c r="A156" s="1" t="s">
        <v>36</v>
      </c>
      <c r="B156" s="1" t="s">
        <v>37</v>
      </c>
      <c r="C156" s="2" t="s">
        <v>18</v>
      </c>
      <c r="D156">
        <v>0.30409999999999998</v>
      </c>
      <c r="E156">
        <v>0.11899999999999999</v>
      </c>
      <c r="F156" s="5">
        <f t="shared" si="4"/>
        <v>0.18509999999999999</v>
      </c>
      <c r="G156">
        <v>1</v>
      </c>
      <c r="H156">
        <f t="shared" si="5"/>
        <v>185.1</v>
      </c>
    </row>
    <row r="157" spans="1:8">
      <c r="A157" s="1" t="s">
        <v>36</v>
      </c>
      <c r="B157" s="1" t="s">
        <v>37</v>
      </c>
      <c r="C157" s="2" t="s">
        <v>19</v>
      </c>
      <c r="D157">
        <v>0.87090000000000001</v>
      </c>
      <c r="E157">
        <v>0.372</v>
      </c>
      <c r="F157" s="5">
        <f t="shared" si="4"/>
        <v>0.49890000000000001</v>
      </c>
      <c r="G157">
        <v>1</v>
      </c>
      <c r="H157">
        <f t="shared" si="5"/>
        <v>498.90000000000003</v>
      </c>
    </row>
    <row r="158" spans="1:8">
      <c r="A158" s="1" t="s">
        <v>36</v>
      </c>
      <c r="B158" s="1" t="s">
        <v>37</v>
      </c>
      <c r="C158" s="2" t="s">
        <v>20</v>
      </c>
      <c r="D158">
        <v>0.4753</v>
      </c>
      <c r="E158">
        <v>0.20200000000000001</v>
      </c>
      <c r="F158" s="5">
        <f t="shared" si="4"/>
        <v>0.27329999999999999</v>
      </c>
      <c r="G158">
        <v>1</v>
      </c>
      <c r="H158">
        <f t="shared" si="5"/>
        <v>273.3</v>
      </c>
    </row>
    <row r="159" spans="1:8">
      <c r="A159" s="1" t="s">
        <v>36</v>
      </c>
      <c r="B159" s="1" t="s">
        <v>37</v>
      </c>
      <c r="C159" s="2" t="s">
        <v>22</v>
      </c>
      <c r="D159">
        <v>0.26219999999999999</v>
      </c>
      <c r="E159">
        <v>0.10100000000000001</v>
      </c>
      <c r="F159" s="5">
        <f t="shared" si="4"/>
        <v>0.16119999999999998</v>
      </c>
      <c r="G159">
        <v>1</v>
      </c>
      <c r="H159">
        <f t="shared" si="5"/>
        <v>161.19999999999999</v>
      </c>
    </row>
    <row r="160" spans="1:8">
      <c r="A160" s="1" t="s">
        <v>36</v>
      </c>
      <c r="B160" s="1" t="s">
        <v>37</v>
      </c>
      <c r="C160" s="2" t="s">
        <v>23</v>
      </c>
      <c r="D160">
        <v>0.3322</v>
      </c>
      <c r="E160">
        <v>0.13100000000000001</v>
      </c>
      <c r="F160" s="5">
        <f t="shared" si="4"/>
        <v>0.20119999999999999</v>
      </c>
      <c r="G160">
        <v>1</v>
      </c>
      <c r="H160">
        <f t="shared" si="5"/>
        <v>201.2</v>
      </c>
    </row>
    <row r="161" spans="1:8">
      <c r="A161" s="1" t="s">
        <v>36</v>
      </c>
      <c r="B161" s="1" t="s">
        <v>37</v>
      </c>
      <c r="C161" s="2" t="s">
        <v>24</v>
      </c>
      <c r="D161">
        <v>0.30499999999999999</v>
      </c>
      <c r="E161">
        <v>0.12</v>
      </c>
      <c r="F161" s="5">
        <f t="shared" si="4"/>
        <v>0.185</v>
      </c>
      <c r="G161">
        <v>1</v>
      </c>
      <c r="H161">
        <f t="shared" si="5"/>
        <v>185</v>
      </c>
    </row>
    <row r="162" spans="1:8">
      <c r="A162" s="1" t="s">
        <v>36</v>
      </c>
      <c r="B162" s="1" t="s">
        <v>37</v>
      </c>
      <c r="C162" s="2" t="s">
        <v>26</v>
      </c>
      <c r="D162">
        <v>0.32219999999999999</v>
      </c>
      <c r="E162">
        <v>0.14299999999999999</v>
      </c>
      <c r="F162" s="5">
        <f t="shared" si="4"/>
        <v>0.1792</v>
      </c>
      <c r="G162">
        <v>1</v>
      </c>
      <c r="H162">
        <f t="shared" si="5"/>
        <v>179.2</v>
      </c>
    </row>
    <row r="163" spans="1:8">
      <c r="A163" s="1" t="s">
        <v>36</v>
      </c>
      <c r="B163" s="1" t="s">
        <v>37</v>
      </c>
      <c r="C163" s="2" t="s">
        <v>27</v>
      </c>
      <c r="D163">
        <v>0.30270000000000002</v>
      </c>
      <c r="E163">
        <v>0.129</v>
      </c>
      <c r="F163" s="5">
        <f t="shared" si="4"/>
        <v>0.17370000000000002</v>
      </c>
      <c r="G163">
        <v>1</v>
      </c>
      <c r="H163">
        <f t="shared" si="5"/>
        <v>173.70000000000002</v>
      </c>
    </row>
    <row r="164" spans="1:8">
      <c r="A164" s="1" t="s">
        <v>36</v>
      </c>
      <c r="B164" s="1" t="s">
        <v>38</v>
      </c>
      <c r="C164" s="2" t="s">
        <v>4</v>
      </c>
      <c r="D164">
        <v>0.14000000000000001</v>
      </c>
      <c r="E164">
        <v>7.0000000000000007E-2</v>
      </c>
      <c r="F164" s="5">
        <f t="shared" si="4"/>
        <v>7.0000000000000007E-2</v>
      </c>
      <c r="G164">
        <v>1</v>
      </c>
      <c r="H164">
        <f t="shared" si="5"/>
        <v>70</v>
      </c>
    </row>
    <row r="165" spans="1:8">
      <c r="A165" s="1" t="s">
        <v>36</v>
      </c>
      <c r="B165" s="1" t="s">
        <v>38</v>
      </c>
      <c r="C165" s="2" t="s">
        <v>6</v>
      </c>
      <c r="D165">
        <v>0.34920000000000001</v>
      </c>
      <c r="E165">
        <v>0.16800000000000001</v>
      </c>
      <c r="F165" s="5">
        <f t="shared" si="4"/>
        <v>0.1812</v>
      </c>
      <c r="G165">
        <v>1</v>
      </c>
      <c r="H165">
        <f t="shared" si="5"/>
        <v>181.2</v>
      </c>
    </row>
    <row r="166" spans="1:8">
      <c r="A166" s="1" t="s">
        <v>36</v>
      </c>
      <c r="B166" s="1" t="s">
        <v>38</v>
      </c>
      <c r="C166" s="2" t="s">
        <v>7</v>
      </c>
      <c r="D166">
        <v>0.44180000000000003</v>
      </c>
      <c r="E166">
        <v>0.23300000000000001</v>
      </c>
      <c r="F166" s="5">
        <f t="shared" si="4"/>
        <v>0.20880000000000001</v>
      </c>
      <c r="G166">
        <v>1</v>
      </c>
      <c r="H166">
        <f t="shared" si="5"/>
        <v>208.8</v>
      </c>
    </row>
    <row r="167" spans="1:8">
      <c r="A167" s="1" t="s">
        <v>36</v>
      </c>
      <c r="B167" s="1" t="s">
        <v>38</v>
      </c>
      <c r="C167" s="2" t="s">
        <v>8</v>
      </c>
      <c r="D167">
        <v>0.434</v>
      </c>
      <c r="E167">
        <v>0.21099999999999999</v>
      </c>
      <c r="F167" s="5">
        <f t="shared" si="4"/>
        <v>0.223</v>
      </c>
      <c r="G167">
        <v>1</v>
      </c>
      <c r="H167">
        <f t="shared" si="5"/>
        <v>223</v>
      </c>
    </row>
    <row r="168" spans="1:8">
      <c r="A168" s="1" t="s">
        <v>36</v>
      </c>
      <c r="B168" s="1" t="s">
        <v>38</v>
      </c>
      <c r="C168" s="2" t="s">
        <v>10</v>
      </c>
      <c r="D168">
        <v>0.36870000000000003</v>
      </c>
      <c r="E168">
        <v>0.17799999999999999</v>
      </c>
      <c r="F168" s="5">
        <f t="shared" si="4"/>
        <v>0.19070000000000004</v>
      </c>
      <c r="G168">
        <v>1</v>
      </c>
      <c r="H168">
        <f t="shared" si="5"/>
        <v>190.70000000000005</v>
      </c>
    </row>
    <row r="169" spans="1:8">
      <c r="A169" s="1" t="s">
        <v>36</v>
      </c>
      <c r="B169" s="1" t="s">
        <v>38</v>
      </c>
      <c r="C169" s="2" t="s">
        <v>11</v>
      </c>
      <c r="D169">
        <v>0.37790000000000001</v>
      </c>
      <c r="E169">
        <v>0.17699999999999999</v>
      </c>
      <c r="F169" s="5">
        <f t="shared" si="4"/>
        <v>0.20090000000000002</v>
      </c>
      <c r="G169">
        <v>1</v>
      </c>
      <c r="H169">
        <f t="shared" si="5"/>
        <v>200.90000000000003</v>
      </c>
    </row>
    <row r="170" spans="1:8">
      <c r="A170" s="1" t="s">
        <v>36</v>
      </c>
      <c r="B170" s="1" t="s">
        <v>38</v>
      </c>
      <c r="C170" s="2" t="s">
        <v>12</v>
      </c>
      <c r="D170">
        <v>0.46489999999999998</v>
      </c>
      <c r="E170">
        <v>0.23300000000000001</v>
      </c>
      <c r="F170" s="5">
        <f t="shared" si="4"/>
        <v>0.23189999999999997</v>
      </c>
      <c r="G170">
        <v>1</v>
      </c>
      <c r="H170">
        <f t="shared" si="5"/>
        <v>231.89999999999998</v>
      </c>
    </row>
    <row r="171" spans="1:8">
      <c r="A171" s="1" t="s">
        <v>36</v>
      </c>
      <c r="B171" s="1" t="s">
        <v>38</v>
      </c>
      <c r="C171" s="2" t="s">
        <v>14</v>
      </c>
      <c r="D171">
        <v>0.3009</v>
      </c>
      <c r="E171">
        <v>0.13300000000000001</v>
      </c>
      <c r="F171" s="5">
        <f t="shared" si="4"/>
        <v>0.16789999999999999</v>
      </c>
      <c r="G171">
        <v>1</v>
      </c>
      <c r="H171">
        <f t="shared" si="5"/>
        <v>167.9</v>
      </c>
    </row>
    <row r="172" spans="1:8">
      <c r="A172" s="1" t="s">
        <v>36</v>
      </c>
      <c r="B172" s="1" t="s">
        <v>38</v>
      </c>
      <c r="C172" s="2" t="s">
        <v>15</v>
      </c>
      <c r="D172">
        <v>0.42859999999999998</v>
      </c>
      <c r="E172">
        <v>0.20699999999999999</v>
      </c>
      <c r="F172" s="5">
        <f t="shared" si="4"/>
        <v>0.22159999999999999</v>
      </c>
      <c r="G172">
        <v>1</v>
      </c>
      <c r="H172">
        <f t="shared" si="5"/>
        <v>221.6</v>
      </c>
    </row>
    <row r="173" spans="1:8">
      <c r="A173" s="1" t="s">
        <v>36</v>
      </c>
      <c r="B173" s="1" t="s">
        <v>38</v>
      </c>
      <c r="C173" s="2" t="s">
        <v>16</v>
      </c>
      <c r="D173">
        <v>0.45739999999999997</v>
      </c>
      <c r="E173">
        <v>0.20399999999999999</v>
      </c>
      <c r="F173" s="5">
        <f t="shared" si="4"/>
        <v>0.25339999999999996</v>
      </c>
      <c r="G173">
        <v>1</v>
      </c>
      <c r="H173">
        <f t="shared" si="5"/>
        <v>253.39999999999995</v>
      </c>
    </row>
    <row r="174" spans="1:8">
      <c r="A174" s="1" t="s">
        <v>36</v>
      </c>
      <c r="B174" s="1" t="s">
        <v>38</v>
      </c>
      <c r="C174" s="2" t="s">
        <v>18</v>
      </c>
      <c r="D174">
        <v>0.42809999999999998</v>
      </c>
      <c r="E174">
        <v>0.187</v>
      </c>
      <c r="F174" s="5">
        <f t="shared" si="4"/>
        <v>0.24109999999999998</v>
      </c>
      <c r="G174">
        <v>1</v>
      </c>
      <c r="H174">
        <f t="shared" si="5"/>
        <v>241.1</v>
      </c>
    </row>
    <row r="175" spans="1:8">
      <c r="A175" s="1" t="s">
        <v>36</v>
      </c>
      <c r="B175" s="1" t="s">
        <v>38</v>
      </c>
      <c r="C175" s="2" t="s">
        <v>19</v>
      </c>
      <c r="D175">
        <v>0.39190000000000003</v>
      </c>
      <c r="E175">
        <v>0.17499999999999999</v>
      </c>
      <c r="F175" s="5">
        <f t="shared" si="4"/>
        <v>0.21690000000000004</v>
      </c>
      <c r="G175">
        <v>1</v>
      </c>
      <c r="H175">
        <f t="shared" si="5"/>
        <v>216.90000000000003</v>
      </c>
    </row>
    <row r="176" spans="1:8">
      <c r="A176" s="1" t="s">
        <v>36</v>
      </c>
      <c r="B176" s="1" t="s">
        <v>38</v>
      </c>
      <c r="C176" s="2" t="s">
        <v>20</v>
      </c>
      <c r="D176">
        <v>0.38350000000000001</v>
      </c>
      <c r="E176">
        <v>0.17699999999999999</v>
      </c>
      <c r="F176" s="5">
        <f t="shared" si="4"/>
        <v>0.20650000000000002</v>
      </c>
      <c r="G176">
        <v>1</v>
      </c>
      <c r="H176">
        <f t="shared" si="5"/>
        <v>206.50000000000003</v>
      </c>
    </row>
    <row r="177" spans="1:8">
      <c r="A177" s="1" t="s">
        <v>36</v>
      </c>
      <c r="B177" s="1" t="s">
        <v>38</v>
      </c>
      <c r="C177" s="2" t="s">
        <v>22</v>
      </c>
      <c r="D177">
        <v>0.41239999999999999</v>
      </c>
      <c r="E177">
        <v>0.182</v>
      </c>
      <c r="F177" s="5">
        <f t="shared" si="4"/>
        <v>0.23039999999999999</v>
      </c>
      <c r="G177">
        <v>1</v>
      </c>
      <c r="H177">
        <f t="shared" si="5"/>
        <v>230.4</v>
      </c>
    </row>
    <row r="178" spans="1:8">
      <c r="A178" s="1" t="s">
        <v>36</v>
      </c>
      <c r="B178" s="1" t="s">
        <v>38</v>
      </c>
      <c r="C178" s="2" t="s">
        <v>23</v>
      </c>
      <c r="D178">
        <v>0.4375</v>
      </c>
      <c r="E178">
        <v>0.251</v>
      </c>
      <c r="F178" s="5">
        <f t="shared" si="4"/>
        <v>0.1865</v>
      </c>
      <c r="G178">
        <v>1</v>
      </c>
      <c r="H178">
        <f t="shared" si="5"/>
        <v>186.5</v>
      </c>
    </row>
    <row r="179" spans="1:8">
      <c r="A179" s="1" t="s">
        <v>36</v>
      </c>
      <c r="B179" s="1" t="s">
        <v>38</v>
      </c>
      <c r="C179" s="2" t="s">
        <v>24</v>
      </c>
      <c r="D179">
        <v>0.39240000000000003</v>
      </c>
      <c r="E179">
        <v>0.184</v>
      </c>
      <c r="F179" s="5">
        <f t="shared" si="4"/>
        <v>0.20840000000000003</v>
      </c>
      <c r="G179">
        <v>1</v>
      </c>
      <c r="H179">
        <f t="shared" si="5"/>
        <v>208.40000000000003</v>
      </c>
    </row>
    <row r="180" spans="1:8">
      <c r="A180" s="1" t="s">
        <v>36</v>
      </c>
      <c r="B180" s="1" t="s">
        <v>38</v>
      </c>
      <c r="C180" s="2" t="s">
        <v>26</v>
      </c>
      <c r="D180">
        <v>0.40210000000000001</v>
      </c>
      <c r="E180">
        <v>0.193</v>
      </c>
      <c r="F180" s="5">
        <f t="shared" si="4"/>
        <v>0.20910000000000001</v>
      </c>
      <c r="G180">
        <v>1</v>
      </c>
      <c r="H180">
        <f t="shared" si="5"/>
        <v>209.1</v>
      </c>
    </row>
    <row r="181" spans="1:8">
      <c r="A181" s="1" t="s">
        <v>36</v>
      </c>
      <c r="B181" s="1" t="s">
        <v>38</v>
      </c>
      <c r="C181" s="2" t="s">
        <v>27</v>
      </c>
      <c r="D181">
        <v>0.39889999999999998</v>
      </c>
      <c r="E181">
        <v>0.183</v>
      </c>
      <c r="F181" s="5">
        <f t="shared" si="4"/>
        <v>0.21589999999999998</v>
      </c>
      <c r="G181">
        <v>1</v>
      </c>
      <c r="H181">
        <f t="shared" si="5"/>
        <v>215.89999999999998</v>
      </c>
    </row>
    <row r="182" spans="1:8">
      <c r="A182" s="1" t="s">
        <v>36</v>
      </c>
      <c r="B182" s="1" t="s">
        <v>39</v>
      </c>
      <c r="C182" s="2" t="s">
        <v>4</v>
      </c>
      <c r="D182">
        <v>0.3211</v>
      </c>
      <c r="E182">
        <v>0.13300000000000001</v>
      </c>
      <c r="F182" s="5">
        <f t="shared" si="4"/>
        <v>0.18809999999999999</v>
      </c>
      <c r="G182">
        <v>1</v>
      </c>
      <c r="H182">
        <f t="shared" si="5"/>
        <v>188.1</v>
      </c>
    </row>
    <row r="183" spans="1:8">
      <c r="A183" s="1" t="s">
        <v>36</v>
      </c>
      <c r="B183" s="1" t="s">
        <v>39</v>
      </c>
      <c r="C183" s="2" t="s">
        <v>6</v>
      </c>
      <c r="D183">
        <v>0.30170000000000002</v>
      </c>
      <c r="E183">
        <v>0.122</v>
      </c>
      <c r="F183" s="5">
        <f t="shared" si="4"/>
        <v>0.17970000000000003</v>
      </c>
      <c r="G183">
        <v>1</v>
      </c>
      <c r="H183">
        <f t="shared" si="5"/>
        <v>179.70000000000002</v>
      </c>
    </row>
    <row r="184" spans="1:8">
      <c r="A184" s="1" t="s">
        <v>36</v>
      </c>
      <c r="B184" s="1" t="s">
        <v>39</v>
      </c>
      <c r="C184" s="2" t="s">
        <v>7</v>
      </c>
      <c r="D184">
        <v>0.4461</v>
      </c>
      <c r="E184">
        <v>0.20499999999999999</v>
      </c>
      <c r="F184" s="5">
        <f t="shared" si="4"/>
        <v>0.24110000000000001</v>
      </c>
      <c r="G184">
        <v>1</v>
      </c>
      <c r="H184">
        <f t="shared" si="5"/>
        <v>241.10000000000002</v>
      </c>
    </row>
    <row r="185" spans="1:8">
      <c r="A185" s="1" t="s">
        <v>36</v>
      </c>
      <c r="B185" s="1" t="s">
        <v>39</v>
      </c>
      <c r="C185" s="2" t="s">
        <v>8</v>
      </c>
      <c r="D185">
        <v>0.27300000000000002</v>
      </c>
      <c r="E185">
        <v>0.12</v>
      </c>
      <c r="F185" s="5">
        <f t="shared" si="4"/>
        <v>0.15300000000000002</v>
      </c>
      <c r="G185">
        <v>1</v>
      </c>
      <c r="H185">
        <f t="shared" si="5"/>
        <v>153.00000000000003</v>
      </c>
    </row>
    <row r="186" spans="1:8">
      <c r="A186" s="1" t="s">
        <v>36</v>
      </c>
      <c r="B186" s="1" t="s">
        <v>39</v>
      </c>
      <c r="C186" s="2" t="s">
        <v>10</v>
      </c>
      <c r="D186">
        <v>0.1188</v>
      </c>
      <c r="E186">
        <v>6.5000000000000002E-2</v>
      </c>
      <c r="F186" s="5">
        <f t="shared" si="4"/>
        <v>5.3800000000000001E-2</v>
      </c>
      <c r="G186">
        <v>1</v>
      </c>
      <c r="H186">
        <f t="shared" si="5"/>
        <v>53.8</v>
      </c>
    </row>
    <row r="187" spans="1:8">
      <c r="A187" s="1" t="s">
        <v>36</v>
      </c>
      <c r="B187" s="1" t="s">
        <v>39</v>
      </c>
      <c r="C187" s="2" t="s">
        <v>11</v>
      </c>
      <c r="D187">
        <v>0.29420000000000002</v>
      </c>
      <c r="E187">
        <v>0.126</v>
      </c>
      <c r="F187" s="5">
        <f t="shared" si="4"/>
        <v>0.16820000000000002</v>
      </c>
      <c r="G187">
        <v>1</v>
      </c>
      <c r="H187">
        <f t="shared" si="5"/>
        <v>168.20000000000002</v>
      </c>
    </row>
    <row r="188" spans="1:8">
      <c r="A188" s="1" t="s">
        <v>36</v>
      </c>
      <c r="B188" s="1" t="s">
        <v>39</v>
      </c>
      <c r="C188" s="2" t="s">
        <v>12</v>
      </c>
      <c r="D188">
        <v>0.498</v>
      </c>
      <c r="E188">
        <v>0.23499999999999999</v>
      </c>
      <c r="F188" s="5">
        <f t="shared" si="4"/>
        <v>0.26300000000000001</v>
      </c>
      <c r="G188">
        <v>1</v>
      </c>
      <c r="H188">
        <f t="shared" si="5"/>
        <v>263</v>
      </c>
    </row>
    <row r="189" spans="1:8">
      <c r="A189" s="1" t="s">
        <v>36</v>
      </c>
      <c r="B189" s="1" t="s">
        <v>39</v>
      </c>
      <c r="C189" s="2" t="s">
        <v>14</v>
      </c>
      <c r="D189">
        <v>0.28189999999999998</v>
      </c>
      <c r="E189">
        <v>0.12</v>
      </c>
      <c r="F189" s="5">
        <f t="shared" si="4"/>
        <v>0.16189999999999999</v>
      </c>
      <c r="G189">
        <v>1</v>
      </c>
      <c r="H189">
        <f t="shared" si="5"/>
        <v>161.89999999999998</v>
      </c>
    </row>
    <row r="190" spans="1:8">
      <c r="A190" s="1" t="s">
        <v>36</v>
      </c>
      <c r="B190" s="1" t="s">
        <v>39</v>
      </c>
      <c r="C190" s="2" t="s">
        <v>15</v>
      </c>
      <c r="D190">
        <v>0.33289999999999997</v>
      </c>
      <c r="E190">
        <v>0.14399999999999999</v>
      </c>
      <c r="F190" s="5">
        <f t="shared" si="4"/>
        <v>0.18889999999999998</v>
      </c>
      <c r="G190">
        <v>1</v>
      </c>
      <c r="H190">
        <f t="shared" si="5"/>
        <v>188.89999999999998</v>
      </c>
    </row>
    <row r="191" spans="1:8">
      <c r="A191" s="1" t="s">
        <v>36</v>
      </c>
      <c r="B191" s="1" t="s">
        <v>39</v>
      </c>
      <c r="C191" s="2" t="s">
        <v>16</v>
      </c>
      <c r="D191">
        <v>0.22439999999999999</v>
      </c>
      <c r="E191">
        <v>9.8000000000000004E-2</v>
      </c>
      <c r="F191" s="5">
        <f t="shared" si="4"/>
        <v>0.12639999999999998</v>
      </c>
      <c r="G191">
        <v>1</v>
      </c>
      <c r="H191">
        <f t="shared" si="5"/>
        <v>126.39999999999999</v>
      </c>
    </row>
    <row r="192" spans="1:8">
      <c r="A192" s="1" t="s">
        <v>36</v>
      </c>
      <c r="B192" s="1" t="s">
        <v>39</v>
      </c>
      <c r="C192" s="2" t="s">
        <v>18</v>
      </c>
      <c r="D192">
        <v>0.30299999999999999</v>
      </c>
      <c r="E192">
        <v>0.127</v>
      </c>
      <c r="F192" s="5">
        <f t="shared" si="4"/>
        <v>0.17599999999999999</v>
      </c>
      <c r="G192">
        <v>1</v>
      </c>
      <c r="H192">
        <f t="shared" si="5"/>
        <v>176</v>
      </c>
    </row>
    <row r="193" spans="1:8">
      <c r="A193" s="1" t="s">
        <v>36</v>
      </c>
      <c r="B193" s="1" t="s">
        <v>39</v>
      </c>
      <c r="C193" s="2" t="s">
        <v>19</v>
      </c>
      <c r="D193">
        <v>0.4194</v>
      </c>
      <c r="E193">
        <v>0.187</v>
      </c>
      <c r="F193" s="5">
        <f t="shared" si="4"/>
        <v>0.2324</v>
      </c>
      <c r="G193">
        <v>1</v>
      </c>
      <c r="H193">
        <f t="shared" si="5"/>
        <v>232.4</v>
      </c>
    </row>
    <row r="194" spans="1:8">
      <c r="A194" s="1" t="s">
        <v>36</v>
      </c>
      <c r="B194" s="1" t="s">
        <v>39</v>
      </c>
      <c r="C194" s="2" t="s">
        <v>20</v>
      </c>
      <c r="D194">
        <v>0.23830000000000001</v>
      </c>
      <c r="E194">
        <v>0.11700000000000001</v>
      </c>
      <c r="F194" s="5">
        <f t="shared" si="4"/>
        <v>0.12130000000000001</v>
      </c>
      <c r="G194">
        <v>1</v>
      </c>
      <c r="H194">
        <f t="shared" si="5"/>
        <v>121.30000000000001</v>
      </c>
    </row>
    <row r="195" spans="1:8">
      <c r="A195" s="1" t="s">
        <v>36</v>
      </c>
      <c r="B195" s="1" t="s">
        <v>39</v>
      </c>
      <c r="C195" s="2" t="s">
        <v>22</v>
      </c>
      <c r="D195">
        <v>0.4879</v>
      </c>
      <c r="E195">
        <v>0.252</v>
      </c>
      <c r="F195" s="5">
        <f t="shared" ref="F195:F258" si="6">D195-E195</f>
        <v>0.2359</v>
      </c>
      <c r="G195">
        <v>1</v>
      </c>
      <c r="H195">
        <f t="shared" ref="H195:H258" si="7">F195*1000</f>
        <v>235.9</v>
      </c>
    </row>
    <row r="196" spans="1:8">
      <c r="A196" s="1" t="s">
        <v>36</v>
      </c>
      <c r="B196" s="1" t="s">
        <v>39</v>
      </c>
      <c r="C196" s="2" t="s">
        <v>23</v>
      </c>
      <c r="D196">
        <v>0.41670000000000001</v>
      </c>
      <c r="E196">
        <v>0.21099999999999999</v>
      </c>
      <c r="F196" s="5">
        <f t="shared" si="6"/>
        <v>0.20570000000000002</v>
      </c>
      <c r="G196">
        <v>1</v>
      </c>
      <c r="H196">
        <f t="shared" si="7"/>
        <v>205.70000000000002</v>
      </c>
    </row>
    <row r="197" spans="1:8">
      <c r="A197" s="1" t="s">
        <v>36</v>
      </c>
      <c r="B197" s="1" t="s">
        <v>39</v>
      </c>
      <c r="C197" s="2" t="s">
        <v>24</v>
      </c>
      <c r="D197">
        <v>0.22839999999999999</v>
      </c>
      <c r="E197">
        <v>0.11700000000000001</v>
      </c>
      <c r="F197" s="5">
        <f t="shared" si="6"/>
        <v>0.11139999999999999</v>
      </c>
      <c r="G197">
        <v>1</v>
      </c>
      <c r="H197">
        <f t="shared" si="7"/>
        <v>111.39999999999999</v>
      </c>
    </row>
    <row r="198" spans="1:8">
      <c r="A198" s="1" t="s">
        <v>36</v>
      </c>
      <c r="B198" s="1" t="s">
        <v>39</v>
      </c>
      <c r="C198" s="2" t="s">
        <v>26</v>
      </c>
      <c r="D198">
        <v>0.22470000000000001</v>
      </c>
      <c r="E198">
        <v>0.121</v>
      </c>
      <c r="F198" s="5">
        <f t="shared" si="6"/>
        <v>0.10370000000000001</v>
      </c>
      <c r="G198">
        <v>1</v>
      </c>
      <c r="H198">
        <f t="shared" si="7"/>
        <v>103.70000000000002</v>
      </c>
    </row>
    <row r="199" spans="1:8">
      <c r="A199" s="1" t="s">
        <v>36</v>
      </c>
      <c r="B199" s="1" t="s">
        <v>39</v>
      </c>
      <c r="C199" s="2" t="s">
        <v>27</v>
      </c>
      <c r="D199">
        <v>0.49309999999999998</v>
      </c>
      <c r="E199">
        <v>0.29299999999999998</v>
      </c>
      <c r="F199" s="5">
        <f t="shared" si="6"/>
        <v>0.2001</v>
      </c>
      <c r="G199">
        <v>1</v>
      </c>
      <c r="H199">
        <f t="shared" si="7"/>
        <v>200.1</v>
      </c>
    </row>
    <row r="200" spans="1:8">
      <c r="A200" s="1" t="s">
        <v>36</v>
      </c>
      <c r="B200" s="1" t="s">
        <v>40</v>
      </c>
      <c r="C200" s="2" t="s">
        <v>4</v>
      </c>
      <c r="D200">
        <v>0.64039999999999997</v>
      </c>
      <c r="E200">
        <v>0.27300000000000002</v>
      </c>
      <c r="F200" s="5">
        <f t="shared" si="6"/>
        <v>0.36739999999999995</v>
      </c>
      <c r="G200">
        <v>1</v>
      </c>
      <c r="H200">
        <f t="shared" si="7"/>
        <v>367.4</v>
      </c>
    </row>
    <row r="201" spans="1:8">
      <c r="A201" s="1" t="s">
        <v>36</v>
      </c>
      <c r="B201" s="1" t="s">
        <v>40</v>
      </c>
      <c r="C201" s="2" t="s">
        <v>6</v>
      </c>
      <c r="D201">
        <v>0.19839999999999999</v>
      </c>
      <c r="E201">
        <v>8.5999999999999993E-2</v>
      </c>
      <c r="F201" s="5">
        <f t="shared" si="6"/>
        <v>0.1124</v>
      </c>
      <c r="G201">
        <v>1</v>
      </c>
      <c r="H201">
        <f t="shared" si="7"/>
        <v>112.4</v>
      </c>
    </row>
    <row r="202" spans="1:8">
      <c r="A202" s="1" t="s">
        <v>36</v>
      </c>
      <c r="B202" s="1" t="s">
        <v>40</v>
      </c>
      <c r="C202" s="2" t="s">
        <v>7</v>
      </c>
      <c r="D202">
        <v>0.54459999999999997</v>
      </c>
      <c r="E202">
        <v>0.24099999999999999</v>
      </c>
      <c r="F202" s="5">
        <f t="shared" si="6"/>
        <v>0.30359999999999998</v>
      </c>
      <c r="G202">
        <v>1</v>
      </c>
      <c r="H202">
        <f t="shared" si="7"/>
        <v>303.59999999999997</v>
      </c>
    </row>
    <row r="203" spans="1:8">
      <c r="A203" s="1" t="s">
        <v>36</v>
      </c>
      <c r="B203" s="1" t="s">
        <v>40</v>
      </c>
      <c r="C203" s="2" t="s">
        <v>8</v>
      </c>
      <c r="D203">
        <v>0.29480000000000001</v>
      </c>
      <c r="E203">
        <v>0.128</v>
      </c>
      <c r="F203" s="5">
        <f t="shared" si="6"/>
        <v>0.1668</v>
      </c>
      <c r="G203">
        <v>1</v>
      </c>
      <c r="H203">
        <f t="shared" si="7"/>
        <v>166.8</v>
      </c>
    </row>
    <row r="204" spans="1:8">
      <c r="A204" s="1" t="s">
        <v>36</v>
      </c>
      <c r="B204" s="1" t="s">
        <v>40</v>
      </c>
      <c r="C204" s="2" t="s">
        <v>10</v>
      </c>
      <c r="D204">
        <v>0.38719999999999999</v>
      </c>
      <c r="E204">
        <v>0.17399999999999999</v>
      </c>
      <c r="F204" s="5">
        <f t="shared" si="6"/>
        <v>0.2132</v>
      </c>
      <c r="G204">
        <v>1</v>
      </c>
      <c r="H204">
        <f t="shared" si="7"/>
        <v>213.2</v>
      </c>
    </row>
    <row r="205" spans="1:8">
      <c r="A205" s="1" t="s">
        <v>36</v>
      </c>
      <c r="B205" s="1" t="s">
        <v>40</v>
      </c>
      <c r="C205" s="2" t="s">
        <v>11</v>
      </c>
      <c r="D205">
        <v>0.20039999999999999</v>
      </c>
      <c r="E205">
        <v>8.4000000000000005E-2</v>
      </c>
      <c r="F205" s="5">
        <f t="shared" si="6"/>
        <v>0.11639999999999999</v>
      </c>
      <c r="G205">
        <v>1</v>
      </c>
      <c r="H205">
        <f t="shared" si="7"/>
        <v>116.39999999999999</v>
      </c>
    </row>
    <row r="206" spans="1:8">
      <c r="A206" s="1" t="s">
        <v>36</v>
      </c>
      <c r="B206" s="1" t="s">
        <v>40</v>
      </c>
      <c r="C206" s="2" t="s">
        <v>12</v>
      </c>
      <c r="D206">
        <v>0.3664</v>
      </c>
      <c r="E206">
        <v>0.13700000000000001</v>
      </c>
      <c r="F206" s="5">
        <f t="shared" si="6"/>
        <v>0.22939999999999999</v>
      </c>
      <c r="G206">
        <v>1</v>
      </c>
      <c r="H206">
        <f t="shared" si="7"/>
        <v>229.4</v>
      </c>
    </row>
    <row r="207" spans="1:8">
      <c r="A207" s="1" t="s">
        <v>36</v>
      </c>
      <c r="B207" s="1" t="s">
        <v>40</v>
      </c>
      <c r="C207" s="2" t="s">
        <v>14</v>
      </c>
      <c r="D207">
        <v>0.7238</v>
      </c>
      <c r="E207">
        <v>0.29499999999999998</v>
      </c>
      <c r="F207" s="5">
        <f t="shared" si="6"/>
        <v>0.42880000000000001</v>
      </c>
      <c r="G207">
        <v>1</v>
      </c>
      <c r="H207">
        <f t="shared" si="7"/>
        <v>428.8</v>
      </c>
    </row>
    <row r="208" spans="1:8">
      <c r="A208" s="1" t="s">
        <v>36</v>
      </c>
      <c r="B208" s="1" t="s">
        <v>40</v>
      </c>
      <c r="C208" s="2" t="s">
        <v>15</v>
      </c>
      <c r="D208">
        <v>0.91800000000000004</v>
      </c>
      <c r="E208">
        <v>0.41499999999999998</v>
      </c>
      <c r="F208" s="5">
        <f t="shared" si="6"/>
        <v>0.50300000000000011</v>
      </c>
      <c r="G208">
        <v>1</v>
      </c>
      <c r="H208">
        <f t="shared" si="7"/>
        <v>503.00000000000011</v>
      </c>
    </row>
    <row r="209" spans="1:8">
      <c r="A209" s="1" t="s">
        <v>36</v>
      </c>
      <c r="B209" s="1" t="s">
        <v>40</v>
      </c>
      <c r="C209" s="2" t="s">
        <v>16</v>
      </c>
      <c r="D209">
        <v>0.53320000000000001</v>
      </c>
      <c r="E209">
        <v>0.23699999999999999</v>
      </c>
      <c r="F209" s="5">
        <f t="shared" si="6"/>
        <v>0.29620000000000002</v>
      </c>
      <c r="G209">
        <v>1</v>
      </c>
      <c r="H209">
        <f t="shared" si="7"/>
        <v>296.20000000000005</v>
      </c>
    </row>
    <row r="210" spans="1:8">
      <c r="A210" s="1" t="s">
        <v>36</v>
      </c>
      <c r="B210" s="1" t="s">
        <v>40</v>
      </c>
      <c r="C210" s="2" t="s">
        <v>18</v>
      </c>
      <c r="D210">
        <v>1.2058</v>
      </c>
      <c r="E210">
        <v>0.60899999999999999</v>
      </c>
      <c r="F210" s="5">
        <f t="shared" si="6"/>
        <v>0.5968</v>
      </c>
      <c r="G210">
        <v>1</v>
      </c>
      <c r="H210">
        <f t="shared" si="7"/>
        <v>596.79999999999995</v>
      </c>
    </row>
    <row r="211" spans="1:8">
      <c r="A211" s="1" t="s">
        <v>36</v>
      </c>
      <c r="B211" s="1" t="s">
        <v>40</v>
      </c>
      <c r="C211" s="2" t="s">
        <v>19</v>
      </c>
      <c r="D211">
        <v>1.0001</v>
      </c>
      <c r="E211">
        <v>0.46400000000000002</v>
      </c>
      <c r="F211" s="5">
        <f t="shared" si="6"/>
        <v>0.53610000000000002</v>
      </c>
      <c r="G211">
        <v>1</v>
      </c>
      <c r="H211">
        <f t="shared" si="7"/>
        <v>536.1</v>
      </c>
    </row>
    <row r="212" spans="1:8">
      <c r="A212" s="1" t="s">
        <v>36</v>
      </c>
      <c r="B212" s="1" t="s">
        <v>40</v>
      </c>
      <c r="C212" s="2" t="s">
        <v>20</v>
      </c>
      <c r="D212">
        <v>0.61890000000000001</v>
      </c>
      <c r="E212">
        <v>0.27800000000000002</v>
      </c>
      <c r="F212" s="5">
        <f t="shared" si="6"/>
        <v>0.34089999999999998</v>
      </c>
      <c r="G212">
        <v>1</v>
      </c>
      <c r="H212">
        <f t="shared" si="7"/>
        <v>340.9</v>
      </c>
    </row>
    <row r="213" spans="1:8">
      <c r="A213" s="1" t="s">
        <v>36</v>
      </c>
      <c r="B213" s="1" t="s">
        <v>40</v>
      </c>
      <c r="C213" s="2" t="s">
        <v>22</v>
      </c>
      <c r="D213">
        <v>0.36420000000000002</v>
      </c>
      <c r="E213">
        <v>0.17399999999999999</v>
      </c>
      <c r="F213" s="5">
        <f t="shared" si="6"/>
        <v>0.19020000000000004</v>
      </c>
      <c r="G213">
        <v>1</v>
      </c>
      <c r="H213">
        <f t="shared" si="7"/>
        <v>190.20000000000005</v>
      </c>
    </row>
    <row r="214" spans="1:8">
      <c r="A214" s="1" t="s">
        <v>36</v>
      </c>
      <c r="B214" s="1" t="s">
        <v>40</v>
      </c>
      <c r="C214" s="2" t="s">
        <v>23</v>
      </c>
      <c r="D214">
        <v>0.36149999999999999</v>
      </c>
      <c r="E214">
        <v>0.16800000000000001</v>
      </c>
      <c r="F214" s="5">
        <f t="shared" si="6"/>
        <v>0.19349999999999998</v>
      </c>
      <c r="G214">
        <v>1</v>
      </c>
      <c r="H214">
        <f t="shared" si="7"/>
        <v>193.49999999999997</v>
      </c>
    </row>
    <row r="215" spans="1:8">
      <c r="A215" s="1" t="s">
        <v>36</v>
      </c>
      <c r="B215" s="1" t="s">
        <v>40</v>
      </c>
      <c r="C215" s="2" t="s">
        <v>24</v>
      </c>
      <c r="D215">
        <v>0.24279999999999999</v>
      </c>
      <c r="E215">
        <v>0.108</v>
      </c>
      <c r="F215" s="5">
        <f t="shared" si="6"/>
        <v>0.13479999999999998</v>
      </c>
      <c r="G215">
        <v>1</v>
      </c>
      <c r="H215">
        <f t="shared" si="7"/>
        <v>134.79999999999998</v>
      </c>
    </row>
    <row r="216" spans="1:8">
      <c r="A216" s="1" t="s">
        <v>36</v>
      </c>
      <c r="B216" s="1" t="s">
        <v>40</v>
      </c>
      <c r="C216" s="2" t="s">
        <v>26</v>
      </c>
      <c r="D216">
        <v>0.65710000000000002</v>
      </c>
      <c r="E216">
        <v>0.28999999999999998</v>
      </c>
      <c r="F216" s="5">
        <f t="shared" si="6"/>
        <v>0.36710000000000004</v>
      </c>
      <c r="G216">
        <v>1</v>
      </c>
      <c r="H216">
        <f t="shared" si="7"/>
        <v>367.1</v>
      </c>
    </row>
    <row r="217" spans="1:8">
      <c r="A217" s="1" t="s">
        <v>36</v>
      </c>
      <c r="B217" s="1" t="s">
        <v>40</v>
      </c>
      <c r="C217" s="2" t="s">
        <v>27</v>
      </c>
      <c r="D217">
        <v>0.50180000000000002</v>
      </c>
      <c r="E217">
        <v>0.21299999999999999</v>
      </c>
      <c r="F217" s="5">
        <f t="shared" si="6"/>
        <v>0.28880000000000006</v>
      </c>
      <c r="G217">
        <v>1</v>
      </c>
      <c r="H217">
        <f t="shared" si="7"/>
        <v>288.80000000000007</v>
      </c>
    </row>
    <row r="218" spans="1:8">
      <c r="A218" s="1" t="s">
        <v>36</v>
      </c>
      <c r="B218" s="1" t="s">
        <v>41</v>
      </c>
      <c r="C218" s="2" t="s">
        <v>4</v>
      </c>
      <c r="D218">
        <v>0.51419999999999999</v>
      </c>
      <c r="E218">
        <v>0.247</v>
      </c>
      <c r="F218" s="5">
        <f t="shared" si="6"/>
        <v>0.26719999999999999</v>
      </c>
      <c r="G218">
        <v>1</v>
      </c>
      <c r="H218">
        <f t="shared" si="7"/>
        <v>267.2</v>
      </c>
    </row>
    <row r="219" spans="1:8">
      <c r="A219" s="1" t="s">
        <v>36</v>
      </c>
      <c r="B219" s="1" t="s">
        <v>41</v>
      </c>
      <c r="C219" s="2" t="s">
        <v>6</v>
      </c>
      <c r="D219">
        <v>0.4839</v>
      </c>
      <c r="E219">
        <v>0.222</v>
      </c>
      <c r="F219" s="5">
        <f t="shared" si="6"/>
        <v>0.26190000000000002</v>
      </c>
      <c r="G219">
        <v>1</v>
      </c>
      <c r="H219">
        <f t="shared" si="7"/>
        <v>261.90000000000003</v>
      </c>
    </row>
    <row r="220" spans="1:8">
      <c r="A220" s="1" t="s">
        <v>36</v>
      </c>
      <c r="B220" s="1" t="s">
        <v>41</v>
      </c>
      <c r="C220" s="2" t="s">
        <v>7</v>
      </c>
      <c r="D220">
        <v>0.44619999999999999</v>
      </c>
      <c r="E220">
        <v>0.21</v>
      </c>
      <c r="F220" s="5">
        <f t="shared" si="6"/>
        <v>0.23619999999999999</v>
      </c>
      <c r="G220">
        <v>1</v>
      </c>
      <c r="H220">
        <f t="shared" si="7"/>
        <v>236.2</v>
      </c>
    </row>
    <row r="221" spans="1:8">
      <c r="A221" s="1" t="s">
        <v>36</v>
      </c>
      <c r="B221" s="1" t="s">
        <v>41</v>
      </c>
      <c r="C221" s="2" t="s">
        <v>8</v>
      </c>
      <c r="D221">
        <v>0.56979999999999997</v>
      </c>
      <c r="E221">
        <v>0.29499999999999998</v>
      </c>
      <c r="F221" s="5">
        <f t="shared" si="6"/>
        <v>0.27479999999999999</v>
      </c>
      <c r="G221">
        <v>1</v>
      </c>
      <c r="H221">
        <f t="shared" si="7"/>
        <v>274.8</v>
      </c>
    </row>
    <row r="222" spans="1:8">
      <c r="A222" s="1" t="s">
        <v>36</v>
      </c>
      <c r="B222" s="1" t="s">
        <v>41</v>
      </c>
      <c r="C222" s="2" t="s">
        <v>10</v>
      </c>
      <c r="D222">
        <v>0.44890000000000002</v>
      </c>
      <c r="E222">
        <v>0.216</v>
      </c>
      <c r="F222" s="5">
        <f t="shared" si="6"/>
        <v>0.23290000000000002</v>
      </c>
      <c r="G222">
        <v>1</v>
      </c>
      <c r="H222">
        <f t="shared" si="7"/>
        <v>232.90000000000003</v>
      </c>
    </row>
    <row r="223" spans="1:8">
      <c r="A223" s="1" t="s">
        <v>36</v>
      </c>
      <c r="B223" s="1" t="s">
        <v>41</v>
      </c>
      <c r="C223" s="2" t="s">
        <v>11</v>
      </c>
      <c r="D223">
        <v>0.57569999999999999</v>
      </c>
      <c r="E223">
        <v>0.28399999999999997</v>
      </c>
      <c r="F223" s="5">
        <f t="shared" si="6"/>
        <v>0.29170000000000001</v>
      </c>
      <c r="G223">
        <v>1</v>
      </c>
      <c r="H223">
        <f t="shared" si="7"/>
        <v>291.7</v>
      </c>
    </row>
    <row r="224" spans="1:8">
      <c r="A224" s="1" t="s">
        <v>36</v>
      </c>
      <c r="B224" s="1" t="s">
        <v>41</v>
      </c>
      <c r="C224" s="2" t="s">
        <v>12</v>
      </c>
      <c r="D224">
        <v>0.76770000000000005</v>
      </c>
      <c r="E224">
        <v>0.39500000000000002</v>
      </c>
      <c r="F224" s="5">
        <f t="shared" si="6"/>
        <v>0.37270000000000003</v>
      </c>
      <c r="G224">
        <v>1</v>
      </c>
      <c r="H224">
        <f t="shared" si="7"/>
        <v>372.70000000000005</v>
      </c>
    </row>
    <row r="225" spans="1:8">
      <c r="A225" s="1" t="s">
        <v>36</v>
      </c>
      <c r="B225" s="1" t="s">
        <v>41</v>
      </c>
      <c r="C225" s="2" t="s">
        <v>14</v>
      </c>
      <c r="D225">
        <v>0.3876</v>
      </c>
      <c r="E225">
        <v>0.16900000000000001</v>
      </c>
      <c r="F225" s="5">
        <f t="shared" si="6"/>
        <v>0.21859999999999999</v>
      </c>
      <c r="G225">
        <v>1</v>
      </c>
      <c r="H225">
        <f t="shared" si="7"/>
        <v>218.6</v>
      </c>
    </row>
    <row r="226" spans="1:8">
      <c r="A226" s="1" t="s">
        <v>36</v>
      </c>
      <c r="B226" s="1" t="s">
        <v>41</v>
      </c>
      <c r="C226" s="2" t="s">
        <v>15</v>
      </c>
      <c r="D226">
        <v>0.49790000000000001</v>
      </c>
      <c r="E226">
        <v>0.23899999999999999</v>
      </c>
      <c r="F226" s="5">
        <f t="shared" si="6"/>
        <v>0.25890000000000002</v>
      </c>
      <c r="G226">
        <v>1</v>
      </c>
      <c r="H226">
        <f t="shared" si="7"/>
        <v>258.90000000000003</v>
      </c>
    </row>
    <row r="227" spans="1:8">
      <c r="A227" s="1" t="s">
        <v>36</v>
      </c>
      <c r="B227" s="1" t="s">
        <v>41</v>
      </c>
      <c r="C227" s="2" t="s">
        <v>16</v>
      </c>
      <c r="D227">
        <v>0.64739999999999998</v>
      </c>
      <c r="E227">
        <v>0.307</v>
      </c>
      <c r="F227" s="5">
        <f t="shared" si="6"/>
        <v>0.34039999999999998</v>
      </c>
      <c r="G227">
        <v>1</v>
      </c>
      <c r="H227">
        <f t="shared" si="7"/>
        <v>340.4</v>
      </c>
    </row>
    <row r="228" spans="1:8">
      <c r="A228" s="1" t="s">
        <v>36</v>
      </c>
      <c r="B228" s="1" t="s">
        <v>41</v>
      </c>
      <c r="C228" s="2" t="s">
        <v>18</v>
      </c>
      <c r="D228">
        <v>0.28360000000000002</v>
      </c>
      <c r="E228">
        <v>0.112</v>
      </c>
      <c r="F228" s="5">
        <f t="shared" si="6"/>
        <v>0.17160000000000003</v>
      </c>
      <c r="G228">
        <v>1</v>
      </c>
      <c r="H228">
        <f t="shared" si="7"/>
        <v>171.60000000000002</v>
      </c>
    </row>
    <row r="229" spans="1:8">
      <c r="A229" s="1" t="s">
        <v>36</v>
      </c>
      <c r="B229" s="1" t="s">
        <v>41</v>
      </c>
      <c r="C229" s="2" t="s">
        <v>19</v>
      </c>
      <c r="D229">
        <v>0.43390000000000001</v>
      </c>
      <c r="E229">
        <v>0.19700000000000001</v>
      </c>
      <c r="F229" s="5">
        <f t="shared" si="6"/>
        <v>0.2369</v>
      </c>
      <c r="G229">
        <v>1</v>
      </c>
      <c r="H229">
        <f t="shared" si="7"/>
        <v>236.9</v>
      </c>
    </row>
    <row r="230" spans="1:8">
      <c r="A230" s="1" t="s">
        <v>36</v>
      </c>
      <c r="B230" s="1" t="s">
        <v>41</v>
      </c>
      <c r="C230" s="2" t="s">
        <v>20</v>
      </c>
      <c r="D230">
        <v>0.56930000000000003</v>
      </c>
      <c r="E230">
        <v>0.26700000000000002</v>
      </c>
      <c r="F230" s="5">
        <f t="shared" si="6"/>
        <v>0.30230000000000001</v>
      </c>
      <c r="G230">
        <v>1</v>
      </c>
      <c r="H230">
        <f t="shared" si="7"/>
        <v>302.3</v>
      </c>
    </row>
    <row r="231" spans="1:8">
      <c r="A231" s="1" t="s">
        <v>36</v>
      </c>
      <c r="B231" s="1" t="s">
        <v>41</v>
      </c>
      <c r="C231" s="2" t="s">
        <v>22</v>
      </c>
      <c r="D231">
        <v>0.58189999999999997</v>
      </c>
      <c r="E231">
        <v>0.27400000000000002</v>
      </c>
      <c r="F231" s="5">
        <f t="shared" si="6"/>
        <v>0.30789999999999995</v>
      </c>
      <c r="G231">
        <v>1</v>
      </c>
      <c r="H231">
        <f t="shared" si="7"/>
        <v>307.89999999999998</v>
      </c>
    </row>
    <row r="232" spans="1:8">
      <c r="A232" s="1" t="s">
        <v>36</v>
      </c>
      <c r="B232" s="1" t="s">
        <v>41</v>
      </c>
      <c r="C232" s="2" t="s">
        <v>23</v>
      </c>
      <c r="D232">
        <v>0.51839999999999997</v>
      </c>
      <c r="E232">
        <v>0.252</v>
      </c>
      <c r="F232" s="5">
        <f t="shared" si="6"/>
        <v>0.26639999999999997</v>
      </c>
      <c r="G232">
        <v>1</v>
      </c>
      <c r="H232">
        <f t="shared" si="7"/>
        <v>266.39999999999998</v>
      </c>
    </row>
    <row r="233" spans="1:8">
      <c r="A233" s="1" t="s">
        <v>36</v>
      </c>
      <c r="B233" s="1" t="s">
        <v>41</v>
      </c>
      <c r="C233" s="2" t="s">
        <v>24</v>
      </c>
      <c r="D233">
        <v>0.55049999999999999</v>
      </c>
      <c r="E233">
        <v>0.27600000000000002</v>
      </c>
      <c r="F233" s="5">
        <f t="shared" si="6"/>
        <v>0.27449999999999997</v>
      </c>
      <c r="G233">
        <v>1</v>
      </c>
      <c r="H233">
        <f t="shared" si="7"/>
        <v>274.49999999999994</v>
      </c>
    </row>
    <row r="234" spans="1:8">
      <c r="A234" s="1" t="s">
        <v>36</v>
      </c>
      <c r="B234" s="1" t="s">
        <v>41</v>
      </c>
      <c r="C234" s="2" t="s">
        <v>26</v>
      </c>
      <c r="D234">
        <v>0.43840000000000001</v>
      </c>
      <c r="E234">
        <v>0.19800000000000001</v>
      </c>
      <c r="F234" s="5">
        <f t="shared" si="6"/>
        <v>0.2404</v>
      </c>
      <c r="G234">
        <v>1</v>
      </c>
      <c r="H234">
        <f t="shared" si="7"/>
        <v>240.4</v>
      </c>
    </row>
    <row r="235" spans="1:8">
      <c r="A235" s="1" t="s">
        <v>36</v>
      </c>
      <c r="B235" s="1" t="s">
        <v>41</v>
      </c>
      <c r="C235" s="2" t="s">
        <v>27</v>
      </c>
      <c r="D235">
        <v>0.47739999999999999</v>
      </c>
      <c r="E235">
        <v>0.23300000000000001</v>
      </c>
      <c r="F235" s="5">
        <f t="shared" si="6"/>
        <v>0.24439999999999998</v>
      </c>
      <c r="G235">
        <v>1</v>
      </c>
      <c r="H235">
        <f t="shared" si="7"/>
        <v>244.39999999999998</v>
      </c>
    </row>
    <row r="236" spans="1:8">
      <c r="A236" s="1" t="s">
        <v>36</v>
      </c>
      <c r="B236" s="1" t="s">
        <v>42</v>
      </c>
      <c r="C236" s="2" t="s">
        <v>4</v>
      </c>
      <c r="D236">
        <v>0.5605</v>
      </c>
      <c r="E236">
        <v>0.25900000000000001</v>
      </c>
      <c r="F236" s="5">
        <f t="shared" si="6"/>
        <v>0.30149999999999999</v>
      </c>
      <c r="G236">
        <v>1</v>
      </c>
      <c r="H236">
        <f t="shared" si="7"/>
        <v>301.5</v>
      </c>
    </row>
    <row r="237" spans="1:8">
      <c r="A237" s="1" t="s">
        <v>36</v>
      </c>
      <c r="B237" s="1" t="s">
        <v>42</v>
      </c>
      <c r="C237" s="2" t="s">
        <v>6</v>
      </c>
      <c r="D237">
        <v>0.56240000000000001</v>
      </c>
      <c r="E237">
        <v>0.254</v>
      </c>
      <c r="F237" s="5">
        <f t="shared" si="6"/>
        <v>0.30840000000000001</v>
      </c>
      <c r="G237">
        <v>1</v>
      </c>
      <c r="H237">
        <f t="shared" si="7"/>
        <v>308.40000000000003</v>
      </c>
    </row>
    <row r="238" spans="1:8">
      <c r="A238" s="1" t="s">
        <v>36</v>
      </c>
      <c r="B238" s="1" t="s">
        <v>42</v>
      </c>
      <c r="C238" s="2" t="s">
        <v>7</v>
      </c>
      <c r="D238">
        <v>0.57830000000000004</v>
      </c>
      <c r="E238">
        <v>0.27200000000000002</v>
      </c>
      <c r="F238" s="5">
        <f t="shared" si="6"/>
        <v>0.30630000000000002</v>
      </c>
      <c r="G238">
        <v>1</v>
      </c>
      <c r="H238">
        <f t="shared" si="7"/>
        <v>306.3</v>
      </c>
    </row>
    <row r="239" spans="1:8">
      <c r="A239" s="1" t="s">
        <v>36</v>
      </c>
      <c r="B239" s="1" t="s">
        <v>42</v>
      </c>
      <c r="C239" s="2" t="s">
        <v>8</v>
      </c>
      <c r="D239">
        <v>0.37890000000000001</v>
      </c>
      <c r="E239">
        <v>0.16200000000000001</v>
      </c>
      <c r="F239" s="5">
        <f t="shared" si="6"/>
        <v>0.21690000000000001</v>
      </c>
      <c r="G239">
        <v>1</v>
      </c>
      <c r="H239">
        <f t="shared" si="7"/>
        <v>216.9</v>
      </c>
    </row>
    <row r="240" spans="1:8">
      <c r="A240" s="1" t="s">
        <v>36</v>
      </c>
      <c r="B240" s="1" t="s">
        <v>42</v>
      </c>
      <c r="C240" s="2" t="s">
        <v>10</v>
      </c>
      <c r="D240">
        <v>0.2928</v>
      </c>
      <c r="E240">
        <v>0.121</v>
      </c>
      <c r="F240" s="5">
        <f t="shared" si="6"/>
        <v>0.17180000000000001</v>
      </c>
      <c r="G240">
        <v>1</v>
      </c>
      <c r="H240">
        <f t="shared" si="7"/>
        <v>171.8</v>
      </c>
    </row>
    <row r="241" spans="1:8">
      <c r="A241" s="1" t="s">
        <v>36</v>
      </c>
      <c r="B241" s="1" t="s">
        <v>42</v>
      </c>
      <c r="C241" s="2" t="s">
        <v>11</v>
      </c>
      <c r="D241">
        <v>0.44469999999999998</v>
      </c>
      <c r="E241">
        <v>0.192</v>
      </c>
      <c r="F241" s="5">
        <f t="shared" si="6"/>
        <v>0.25269999999999998</v>
      </c>
      <c r="G241">
        <v>1</v>
      </c>
      <c r="H241">
        <f t="shared" si="7"/>
        <v>252.7</v>
      </c>
    </row>
    <row r="242" spans="1:8">
      <c r="A242" s="1" t="s">
        <v>36</v>
      </c>
      <c r="B242" s="1" t="s">
        <v>42</v>
      </c>
      <c r="C242" s="2" t="s">
        <v>12</v>
      </c>
      <c r="D242">
        <v>0.60829999999999995</v>
      </c>
      <c r="E242">
        <v>0.248</v>
      </c>
      <c r="F242" s="5">
        <f t="shared" si="6"/>
        <v>0.36029999999999995</v>
      </c>
      <c r="G242">
        <v>1</v>
      </c>
      <c r="H242">
        <f t="shared" si="7"/>
        <v>360.29999999999995</v>
      </c>
    </row>
    <row r="243" spans="1:8">
      <c r="A243" s="1" t="s">
        <v>36</v>
      </c>
      <c r="B243" s="1" t="s">
        <v>42</v>
      </c>
      <c r="C243" s="2" t="s">
        <v>14</v>
      </c>
      <c r="D243">
        <v>0.34229999999999999</v>
      </c>
      <c r="E243">
        <v>0.13800000000000001</v>
      </c>
      <c r="F243" s="5">
        <f t="shared" si="6"/>
        <v>0.20429999999999998</v>
      </c>
      <c r="G243">
        <v>1</v>
      </c>
      <c r="H243">
        <f t="shared" si="7"/>
        <v>204.29999999999998</v>
      </c>
    </row>
    <row r="244" spans="1:8">
      <c r="A244" s="1" t="s">
        <v>36</v>
      </c>
      <c r="B244" s="1" t="s">
        <v>42</v>
      </c>
      <c r="C244" s="2" t="s">
        <v>15</v>
      </c>
      <c r="D244">
        <v>0.67020000000000002</v>
      </c>
      <c r="E244">
        <v>0.29199999999999998</v>
      </c>
      <c r="F244" s="5">
        <f t="shared" si="6"/>
        <v>0.37820000000000004</v>
      </c>
      <c r="G244">
        <v>1</v>
      </c>
      <c r="H244">
        <f t="shared" si="7"/>
        <v>378.20000000000005</v>
      </c>
    </row>
    <row r="245" spans="1:8">
      <c r="A245" s="1" t="s">
        <v>36</v>
      </c>
      <c r="B245" s="1" t="s">
        <v>42</v>
      </c>
      <c r="C245" s="2" t="s">
        <v>16</v>
      </c>
      <c r="D245">
        <v>0.78059999999999996</v>
      </c>
      <c r="E245">
        <v>0.316</v>
      </c>
      <c r="F245" s="5">
        <f t="shared" si="6"/>
        <v>0.46459999999999996</v>
      </c>
      <c r="G245">
        <v>1</v>
      </c>
      <c r="H245">
        <f t="shared" si="7"/>
        <v>464.59999999999997</v>
      </c>
    </row>
    <row r="246" spans="1:8">
      <c r="A246" s="1" t="s">
        <v>36</v>
      </c>
      <c r="B246" s="1" t="s">
        <v>42</v>
      </c>
      <c r="C246" s="2" t="s">
        <v>18</v>
      </c>
      <c r="D246">
        <v>0.50949999999999995</v>
      </c>
      <c r="E246">
        <v>0.20499999999999999</v>
      </c>
      <c r="F246" s="5">
        <f t="shared" si="6"/>
        <v>0.30449999999999999</v>
      </c>
      <c r="G246">
        <v>1</v>
      </c>
      <c r="H246">
        <f t="shared" si="7"/>
        <v>304.5</v>
      </c>
    </row>
    <row r="247" spans="1:8">
      <c r="A247" s="1" t="s">
        <v>36</v>
      </c>
      <c r="B247" s="1" t="s">
        <v>42</v>
      </c>
      <c r="C247" s="2" t="s">
        <v>19</v>
      </c>
      <c r="D247">
        <v>0.44569999999999999</v>
      </c>
      <c r="E247">
        <v>0.19700000000000001</v>
      </c>
      <c r="F247" s="5">
        <f t="shared" si="6"/>
        <v>0.24869999999999998</v>
      </c>
      <c r="G247">
        <v>1</v>
      </c>
      <c r="H247">
        <f t="shared" si="7"/>
        <v>248.7</v>
      </c>
    </row>
    <row r="248" spans="1:8">
      <c r="A248" s="1" t="s">
        <v>36</v>
      </c>
      <c r="B248" s="1" t="s">
        <v>42</v>
      </c>
      <c r="C248" s="2" t="s">
        <v>20</v>
      </c>
      <c r="D248">
        <v>0.39639999999999997</v>
      </c>
      <c r="E248">
        <v>0.155</v>
      </c>
      <c r="F248" s="5">
        <f t="shared" si="6"/>
        <v>0.24139999999999998</v>
      </c>
      <c r="G248">
        <v>1</v>
      </c>
      <c r="H248">
        <f t="shared" si="7"/>
        <v>241.39999999999998</v>
      </c>
    </row>
    <row r="249" spans="1:8">
      <c r="A249" s="1" t="s">
        <v>36</v>
      </c>
      <c r="B249" s="1" t="s">
        <v>42</v>
      </c>
      <c r="C249" s="2" t="s">
        <v>22</v>
      </c>
      <c r="D249">
        <v>0.50229999999999997</v>
      </c>
      <c r="E249">
        <v>0.20899999999999999</v>
      </c>
      <c r="F249" s="5">
        <f t="shared" si="6"/>
        <v>0.29330000000000001</v>
      </c>
      <c r="G249">
        <v>1</v>
      </c>
      <c r="H249">
        <f t="shared" si="7"/>
        <v>293.3</v>
      </c>
    </row>
    <row r="250" spans="1:8">
      <c r="A250" s="1" t="s">
        <v>36</v>
      </c>
      <c r="B250" s="1" t="s">
        <v>42</v>
      </c>
      <c r="C250" s="2" t="s">
        <v>23</v>
      </c>
      <c r="D250">
        <v>0.53210000000000002</v>
      </c>
      <c r="E250">
        <v>0.214</v>
      </c>
      <c r="F250" s="5">
        <f t="shared" si="6"/>
        <v>0.31810000000000005</v>
      </c>
      <c r="G250">
        <v>1</v>
      </c>
      <c r="H250">
        <f t="shared" si="7"/>
        <v>318.10000000000002</v>
      </c>
    </row>
    <row r="251" spans="1:8">
      <c r="A251" s="1" t="s">
        <v>36</v>
      </c>
      <c r="B251" s="1" t="s">
        <v>42</v>
      </c>
      <c r="C251" s="2" t="s">
        <v>24</v>
      </c>
      <c r="D251">
        <v>0.35539999999999999</v>
      </c>
      <c r="E251">
        <v>0.13800000000000001</v>
      </c>
      <c r="F251" s="5">
        <f t="shared" si="6"/>
        <v>0.21739999999999998</v>
      </c>
      <c r="G251">
        <v>1</v>
      </c>
      <c r="H251">
        <f t="shared" si="7"/>
        <v>217.39999999999998</v>
      </c>
    </row>
    <row r="252" spans="1:8">
      <c r="A252" s="1" t="s">
        <v>36</v>
      </c>
      <c r="B252" s="1" t="s">
        <v>42</v>
      </c>
      <c r="C252" s="2" t="s">
        <v>26</v>
      </c>
      <c r="D252">
        <v>0.35039999999999999</v>
      </c>
      <c r="E252">
        <v>0.13400000000000001</v>
      </c>
      <c r="F252" s="5">
        <f t="shared" si="6"/>
        <v>0.21639999999999998</v>
      </c>
      <c r="G252">
        <v>1</v>
      </c>
      <c r="H252">
        <f t="shared" si="7"/>
        <v>216.39999999999998</v>
      </c>
    </row>
    <row r="253" spans="1:8">
      <c r="A253" s="1" t="s">
        <v>36</v>
      </c>
      <c r="B253" s="1" t="s">
        <v>42</v>
      </c>
      <c r="C253" s="2" t="s">
        <v>27</v>
      </c>
      <c r="D253">
        <v>0.49359999999999998</v>
      </c>
      <c r="E253">
        <v>0.20399999999999999</v>
      </c>
      <c r="F253" s="5">
        <f t="shared" si="6"/>
        <v>0.28959999999999997</v>
      </c>
      <c r="G253">
        <v>1</v>
      </c>
      <c r="H253">
        <f t="shared" si="7"/>
        <v>289.59999999999997</v>
      </c>
    </row>
    <row r="254" spans="1:8">
      <c r="A254" s="1" t="s">
        <v>36</v>
      </c>
      <c r="B254" s="1" t="s">
        <v>43</v>
      </c>
      <c r="C254" s="2" t="s">
        <v>4</v>
      </c>
      <c r="D254">
        <v>0.46450000000000002</v>
      </c>
      <c r="E254">
        <v>0.183</v>
      </c>
      <c r="F254" s="5">
        <f t="shared" si="6"/>
        <v>0.28150000000000003</v>
      </c>
      <c r="G254">
        <v>1</v>
      </c>
      <c r="H254">
        <f t="shared" si="7"/>
        <v>281.5</v>
      </c>
    </row>
    <row r="255" spans="1:8">
      <c r="A255" s="1" t="s">
        <v>36</v>
      </c>
      <c r="B255" s="1" t="s">
        <v>43</v>
      </c>
      <c r="C255" s="2" t="s">
        <v>6</v>
      </c>
      <c r="D255">
        <v>0.53220000000000001</v>
      </c>
      <c r="E255">
        <v>0.219</v>
      </c>
      <c r="F255" s="5">
        <f t="shared" si="6"/>
        <v>0.31320000000000003</v>
      </c>
      <c r="G255">
        <v>1</v>
      </c>
      <c r="H255">
        <f t="shared" si="7"/>
        <v>313.20000000000005</v>
      </c>
    </row>
    <row r="256" spans="1:8">
      <c r="A256" s="1" t="s">
        <v>36</v>
      </c>
      <c r="B256" s="1" t="s">
        <v>43</v>
      </c>
      <c r="C256" s="2" t="s">
        <v>7</v>
      </c>
      <c r="D256">
        <v>0.58579999999999999</v>
      </c>
      <c r="E256">
        <v>0.24299999999999999</v>
      </c>
      <c r="F256" s="5">
        <f t="shared" si="6"/>
        <v>0.34279999999999999</v>
      </c>
      <c r="G256">
        <v>1</v>
      </c>
      <c r="H256">
        <f t="shared" si="7"/>
        <v>342.8</v>
      </c>
    </row>
    <row r="257" spans="1:8">
      <c r="A257" s="1" t="s">
        <v>36</v>
      </c>
      <c r="B257" s="1" t="s">
        <v>43</v>
      </c>
      <c r="C257" s="2" t="s">
        <v>8</v>
      </c>
      <c r="D257">
        <v>0.57199999999999995</v>
      </c>
      <c r="E257">
        <v>0.25700000000000001</v>
      </c>
      <c r="F257" s="5">
        <f t="shared" si="6"/>
        <v>0.31499999999999995</v>
      </c>
      <c r="G257">
        <v>1</v>
      </c>
      <c r="H257">
        <f t="shared" si="7"/>
        <v>314.99999999999994</v>
      </c>
    </row>
    <row r="258" spans="1:8">
      <c r="A258" s="1" t="s">
        <v>36</v>
      </c>
      <c r="B258" s="1" t="s">
        <v>43</v>
      </c>
      <c r="C258" s="2" t="s">
        <v>10</v>
      </c>
      <c r="D258">
        <v>0.52390000000000003</v>
      </c>
      <c r="E258">
        <v>0.216</v>
      </c>
      <c r="F258" s="5">
        <f t="shared" si="6"/>
        <v>0.30790000000000006</v>
      </c>
      <c r="G258">
        <v>1</v>
      </c>
      <c r="H258">
        <f t="shared" si="7"/>
        <v>307.90000000000009</v>
      </c>
    </row>
    <row r="259" spans="1:8">
      <c r="A259" s="1" t="s">
        <v>36</v>
      </c>
      <c r="B259" s="1" t="s">
        <v>43</v>
      </c>
      <c r="C259" s="2" t="s">
        <v>11</v>
      </c>
      <c r="D259">
        <v>0.6179</v>
      </c>
      <c r="E259">
        <v>0.27300000000000002</v>
      </c>
      <c r="F259" s="5">
        <f t="shared" ref="F259:F289" si="8">D259-E259</f>
        <v>0.34489999999999998</v>
      </c>
      <c r="G259">
        <v>1</v>
      </c>
      <c r="H259">
        <f t="shared" ref="H259:H289" si="9">F259*1000</f>
        <v>344.9</v>
      </c>
    </row>
    <row r="260" spans="1:8">
      <c r="A260" s="1" t="s">
        <v>36</v>
      </c>
      <c r="B260" s="1" t="s">
        <v>43</v>
      </c>
      <c r="C260" s="2" t="s">
        <v>12</v>
      </c>
      <c r="D260">
        <v>0.47789999999999999</v>
      </c>
      <c r="E260">
        <v>0.20599999999999999</v>
      </c>
      <c r="F260" s="5">
        <f t="shared" si="8"/>
        <v>0.27190000000000003</v>
      </c>
      <c r="G260">
        <v>1</v>
      </c>
      <c r="H260">
        <f t="shared" si="9"/>
        <v>271.90000000000003</v>
      </c>
    </row>
    <row r="261" spans="1:8">
      <c r="A261" s="1" t="s">
        <v>36</v>
      </c>
      <c r="B261" s="1" t="s">
        <v>43</v>
      </c>
      <c r="C261" s="2" t="s">
        <v>14</v>
      </c>
      <c r="D261">
        <v>0.60219999999999996</v>
      </c>
      <c r="E261">
        <v>0.26</v>
      </c>
      <c r="F261" s="5">
        <f t="shared" si="8"/>
        <v>0.34219999999999995</v>
      </c>
      <c r="G261">
        <v>1</v>
      </c>
      <c r="H261">
        <f t="shared" si="9"/>
        <v>342.19999999999993</v>
      </c>
    </row>
    <row r="262" spans="1:8">
      <c r="A262" s="1" t="s">
        <v>36</v>
      </c>
      <c r="B262" s="1" t="s">
        <v>43</v>
      </c>
      <c r="C262" s="2" t="s">
        <v>15</v>
      </c>
      <c r="D262">
        <v>0.62070000000000003</v>
      </c>
      <c r="E262">
        <v>0.25800000000000001</v>
      </c>
      <c r="F262" s="5">
        <f t="shared" si="8"/>
        <v>0.36270000000000002</v>
      </c>
      <c r="G262">
        <v>1</v>
      </c>
      <c r="H262">
        <f t="shared" si="9"/>
        <v>362.70000000000005</v>
      </c>
    </row>
    <row r="263" spans="1:8">
      <c r="A263" s="1" t="s">
        <v>36</v>
      </c>
      <c r="B263" s="1" t="s">
        <v>43</v>
      </c>
      <c r="C263" s="2" t="s">
        <v>16</v>
      </c>
      <c r="D263">
        <v>0.55600000000000005</v>
      </c>
      <c r="E263">
        <v>0.21299999999999999</v>
      </c>
      <c r="F263" s="5">
        <f t="shared" si="8"/>
        <v>0.34300000000000008</v>
      </c>
      <c r="G263">
        <v>1</v>
      </c>
      <c r="H263">
        <f t="shared" si="9"/>
        <v>343.00000000000006</v>
      </c>
    </row>
    <row r="264" spans="1:8">
      <c r="A264" s="1" t="s">
        <v>36</v>
      </c>
      <c r="B264" s="1" t="s">
        <v>43</v>
      </c>
      <c r="C264" s="2" t="s">
        <v>18</v>
      </c>
      <c r="D264">
        <v>0.5877</v>
      </c>
      <c r="E264">
        <v>0.23899999999999999</v>
      </c>
      <c r="F264" s="5">
        <f t="shared" si="8"/>
        <v>0.34870000000000001</v>
      </c>
      <c r="G264">
        <v>1</v>
      </c>
      <c r="H264">
        <f t="shared" si="9"/>
        <v>348.7</v>
      </c>
    </row>
    <row r="265" spans="1:8">
      <c r="A265" s="1" t="s">
        <v>36</v>
      </c>
      <c r="B265" s="1" t="s">
        <v>43</v>
      </c>
      <c r="C265" s="2" t="s">
        <v>19</v>
      </c>
      <c r="D265">
        <v>1.1544000000000001</v>
      </c>
      <c r="E265">
        <v>0.51900000000000002</v>
      </c>
      <c r="F265" s="5">
        <f t="shared" si="8"/>
        <v>0.63540000000000008</v>
      </c>
      <c r="G265">
        <v>1</v>
      </c>
      <c r="H265">
        <f t="shared" si="9"/>
        <v>635.40000000000009</v>
      </c>
    </row>
    <row r="266" spans="1:8">
      <c r="A266" s="1" t="s">
        <v>36</v>
      </c>
      <c r="B266" s="1" t="s">
        <v>43</v>
      </c>
      <c r="C266" s="2" t="s">
        <v>20</v>
      </c>
      <c r="D266">
        <v>0.4728</v>
      </c>
      <c r="E266">
        <v>0.19700000000000001</v>
      </c>
      <c r="F266" s="5">
        <f t="shared" si="8"/>
        <v>0.27579999999999999</v>
      </c>
      <c r="G266">
        <v>1</v>
      </c>
      <c r="H266">
        <f t="shared" si="9"/>
        <v>275.8</v>
      </c>
    </row>
    <row r="267" spans="1:8">
      <c r="A267" s="1" t="s">
        <v>36</v>
      </c>
      <c r="B267" s="1" t="s">
        <v>43</v>
      </c>
      <c r="C267" s="2" t="s">
        <v>22</v>
      </c>
      <c r="D267">
        <v>0.84840000000000004</v>
      </c>
      <c r="E267">
        <v>0.35899999999999999</v>
      </c>
      <c r="F267" s="5">
        <f t="shared" si="8"/>
        <v>0.48940000000000006</v>
      </c>
      <c r="G267">
        <v>1</v>
      </c>
      <c r="H267">
        <f t="shared" si="9"/>
        <v>489.40000000000003</v>
      </c>
    </row>
    <row r="268" spans="1:8">
      <c r="A268" s="1" t="s">
        <v>36</v>
      </c>
      <c r="B268" s="1" t="s">
        <v>43</v>
      </c>
      <c r="C268" s="2" t="s">
        <v>23</v>
      </c>
      <c r="D268">
        <v>0.42199999999999999</v>
      </c>
      <c r="E268">
        <v>0.17399999999999999</v>
      </c>
      <c r="F268" s="5">
        <f t="shared" si="8"/>
        <v>0.248</v>
      </c>
      <c r="G268">
        <v>1</v>
      </c>
      <c r="H268">
        <f t="shared" si="9"/>
        <v>248</v>
      </c>
    </row>
    <row r="269" spans="1:8">
      <c r="A269" s="1" t="s">
        <v>36</v>
      </c>
      <c r="B269" s="1" t="s">
        <v>43</v>
      </c>
      <c r="C269" s="2" t="s">
        <v>24</v>
      </c>
      <c r="D269">
        <v>0.57250000000000001</v>
      </c>
      <c r="E269">
        <v>0.249</v>
      </c>
      <c r="F269" s="5">
        <f t="shared" si="8"/>
        <v>0.32350000000000001</v>
      </c>
      <c r="G269">
        <v>1</v>
      </c>
      <c r="H269">
        <f t="shared" si="9"/>
        <v>323.5</v>
      </c>
    </row>
    <row r="270" spans="1:8">
      <c r="A270" s="1" t="s">
        <v>36</v>
      </c>
      <c r="B270" s="1" t="s">
        <v>43</v>
      </c>
      <c r="C270" s="2" t="s">
        <v>26</v>
      </c>
      <c r="D270">
        <v>0.60229999999999995</v>
      </c>
      <c r="E270">
        <v>0.27800000000000002</v>
      </c>
      <c r="F270" s="5">
        <f t="shared" si="8"/>
        <v>0.32429999999999992</v>
      </c>
      <c r="G270">
        <v>1</v>
      </c>
      <c r="H270">
        <f t="shared" si="9"/>
        <v>324.2999999999999</v>
      </c>
    </row>
    <row r="271" spans="1:8">
      <c r="A271" s="1" t="s">
        <v>36</v>
      </c>
      <c r="B271" s="1" t="s">
        <v>43</v>
      </c>
      <c r="C271" s="2" t="s">
        <v>27</v>
      </c>
      <c r="D271">
        <v>0.51019999999999999</v>
      </c>
      <c r="E271">
        <v>0.2</v>
      </c>
      <c r="F271" s="5">
        <f t="shared" si="8"/>
        <v>0.31019999999999998</v>
      </c>
      <c r="G271">
        <v>1</v>
      </c>
      <c r="H271">
        <f t="shared" si="9"/>
        <v>310.2</v>
      </c>
    </row>
    <row r="272" spans="1:8">
      <c r="A272" s="1" t="s">
        <v>36</v>
      </c>
      <c r="B272" s="1" t="s">
        <v>44</v>
      </c>
      <c r="C272" s="2" t="s">
        <v>4</v>
      </c>
      <c r="D272">
        <v>0.1678</v>
      </c>
      <c r="E272">
        <v>7.0999999999999994E-2</v>
      </c>
      <c r="F272" s="5">
        <f t="shared" si="8"/>
        <v>9.6800000000000011E-2</v>
      </c>
      <c r="G272">
        <v>1</v>
      </c>
      <c r="H272">
        <f t="shared" si="9"/>
        <v>96.800000000000011</v>
      </c>
    </row>
    <row r="273" spans="1:8">
      <c r="A273" s="1" t="s">
        <v>36</v>
      </c>
      <c r="B273" s="1" t="s">
        <v>44</v>
      </c>
      <c r="C273" s="2" t="s">
        <v>6</v>
      </c>
      <c r="D273">
        <v>0.58289999999999997</v>
      </c>
      <c r="E273">
        <v>0.17599999999999999</v>
      </c>
      <c r="F273" s="5">
        <f t="shared" si="8"/>
        <v>0.40689999999999998</v>
      </c>
      <c r="G273">
        <v>1</v>
      </c>
      <c r="H273">
        <f t="shared" si="9"/>
        <v>406.9</v>
      </c>
    </row>
    <row r="274" spans="1:8">
      <c r="A274" s="1" t="s">
        <v>36</v>
      </c>
      <c r="B274" s="1" t="s">
        <v>44</v>
      </c>
      <c r="C274" s="2" t="s">
        <v>7</v>
      </c>
      <c r="D274">
        <v>0.13420000000000001</v>
      </c>
      <c r="E274">
        <v>6.4000000000000001E-2</v>
      </c>
      <c r="F274" s="5">
        <f t="shared" si="8"/>
        <v>7.0200000000000012E-2</v>
      </c>
      <c r="G274">
        <v>1</v>
      </c>
      <c r="H274">
        <f t="shared" si="9"/>
        <v>70.200000000000017</v>
      </c>
    </row>
    <row r="275" spans="1:8">
      <c r="A275" s="1" t="s">
        <v>36</v>
      </c>
      <c r="B275" s="1" t="s">
        <v>44</v>
      </c>
      <c r="C275" s="2" t="s">
        <v>8</v>
      </c>
      <c r="D275">
        <v>0.1181</v>
      </c>
      <c r="E275">
        <v>5.8000000000000003E-2</v>
      </c>
      <c r="F275" s="5">
        <f t="shared" si="8"/>
        <v>6.0099999999999994E-2</v>
      </c>
      <c r="G275">
        <v>1</v>
      </c>
      <c r="H275">
        <f t="shared" si="9"/>
        <v>60.099999999999994</v>
      </c>
    </row>
    <row r="276" spans="1:8">
      <c r="A276" s="1" t="s">
        <v>36</v>
      </c>
      <c r="B276" s="1" t="s">
        <v>44</v>
      </c>
      <c r="C276" s="2" t="s">
        <v>10</v>
      </c>
      <c r="D276">
        <v>0.1173</v>
      </c>
      <c r="E276">
        <v>5.8000000000000003E-2</v>
      </c>
      <c r="F276" s="5">
        <f t="shared" si="8"/>
        <v>5.9299999999999999E-2</v>
      </c>
      <c r="G276">
        <v>1</v>
      </c>
      <c r="H276">
        <f t="shared" si="9"/>
        <v>59.3</v>
      </c>
    </row>
    <row r="277" spans="1:8">
      <c r="A277" s="1" t="s">
        <v>36</v>
      </c>
      <c r="B277" s="1" t="s">
        <v>44</v>
      </c>
      <c r="C277" s="2" t="s">
        <v>11</v>
      </c>
      <c r="D277">
        <v>0.14499999999999999</v>
      </c>
      <c r="E277">
        <v>6.7000000000000004E-2</v>
      </c>
      <c r="F277" s="5">
        <f t="shared" si="8"/>
        <v>7.7999999999999986E-2</v>
      </c>
      <c r="G277">
        <v>1</v>
      </c>
      <c r="H277">
        <f t="shared" si="9"/>
        <v>77.999999999999986</v>
      </c>
    </row>
    <row r="278" spans="1:8">
      <c r="A278" s="1" t="s">
        <v>36</v>
      </c>
      <c r="B278" s="1" t="s">
        <v>44</v>
      </c>
      <c r="C278" s="2" t="s">
        <v>12</v>
      </c>
      <c r="D278">
        <v>0.35820000000000002</v>
      </c>
      <c r="E278">
        <v>0.113</v>
      </c>
      <c r="F278" s="5">
        <f t="shared" si="8"/>
        <v>0.24520000000000003</v>
      </c>
      <c r="G278">
        <v>1</v>
      </c>
      <c r="H278">
        <f t="shared" si="9"/>
        <v>245.20000000000002</v>
      </c>
    </row>
    <row r="279" spans="1:8">
      <c r="A279" s="1" t="s">
        <v>36</v>
      </c>
      <c r="B279" s="1" t="s">
        <v>44</v>
      </c>
      <c r="C279" s="2" t="s">
        <v>14</v>
      </c>
      <c r="D279">
        <v>0.53879999999999995</v>
      </c>
      <c r="E279">
        <v>0.21</v>
      </c>
      <c r="F279" s="5">
        <f t="shared" si="8"/>
        <v>0.32879999999999998</v>
      </c>
      <c r="G279">
        <v>1</v>
      </c>
      <c r="H279">
        <f t="shared" si="9"/>
        <v>328.79999999999995</v>
      </c>
    </row>
    <row r="280" spans="1:8">
      <c r="A280" s="1" t="s">
        <v>36</v>
      </c>
      <c r="B280" s="1" t="s">
        <v>44</v>
      </c>
      <c r="C280" s="2" t="s">
        <v>15</v>
      </c>
      <c r="D280">
        <v>0.34639999999999999</v>
      </c>
      <c r="E280">
        <v>0.121</v>
      </c>
      <c r="F280" s="5">
        <f t="shared" si="8"/>
        <v>0.22539999999999999</v>
      </c>
      <c r="G280">
        <v>1</v>
      </c>
      <c r="H280">
        <f t="shared" si="9"/>
        <v>225.39999999999998</v>
      </c>
    </row>
    <row r="281" spans="1:8">
      <c r="A281" s="1" t="s">
        <v>36</v>
      </c>
      <c r="B281" s="1" t="s">
        <v>44</v>
      </c>
      <c r="C281" s="2" t="s">
        <v>16</v>
      </c>
      <c r="D281">
        <v>0.15110000000000001</v>
      </c>
      <c r="E281">
        <v>6.4000000000000001E-2</v>
      </c>
      <c r="F281" s="5">
        <f t="shared" si="8"/>
        <v>8.7100000000000011E-2</v>
      </c>
      <c r="G281">
        <v>1</v>
      </c>
      <c r="H281">
        <f t="shared" si="9"/>
        <v>87.100000000000009</v>
      </c>
    </row>
    <row r="282" spans="1:8">
      <c r="A282" s="1" t="s">
        <v>36</v>
      </c>
      <c r="B282" s="1" t="s">
        <v>44</v>
      </c>
      <c r="C282" s="2" t="s">
        <v>18</v>
      </c>
      <c r="D282">
        <v>2.5236000000000001</v>
      </c>
      <c r="E282">
        <v>1.246</v>
      </c>
      <c r="F282" s="5">
        <f t="shared" si="8"/>
        <v>1.2776000000000001</v>
      </c>
      <c r="G282">
        <v>1</v>
      </c>
      <c r="H282" s="13">
        <f t="shared" si="9"/>
        <v>1277.6000000000001</v>
      </c>
    </row>
    <row r="283" spans="1:8">
      <c r="A283" s="1" t="s">
        <v>36</v>
      </c>
      <c r="B283" s="1" t="s">
        <v>44</v>
      </c>
      <c r="C283" s="2" t="s">
        <v>19</v>
      </c>
      <c r="D283">
        <v>0.39279999999999998</v>
      </c>
      <c r="E283">
        <v>0.14499999999999999</v>
      </c>
      <c r="F283" s="5">
        <f t="shared" si="8"/>
        <v>0.24779999999999999</v>
      </c>
      <c r="G283">
        <v>1</v>
      </c>
      <c r="H283">
        <f t="shared" si="9"/>
        <v>247.79999999999998</v>
      </c>
    </row>
    <row r="284" spans="1:8">
      <c r="A284" s="1" t="s">
        <v>36</v>
      </c>
      <c r="B284" s="1" t="s">
        <v>44</v>
      </c>
      <c r="C284" s="2" t="s">
        <v>20</v>
      </c>
      <c r="D284">
        <v>0.57620000000000005</v>
      </c>
      <c r="E284">
        <v>0.186</v>
      </c>
      <c r="F284" s="5">
        <f t="shared" si="8"/>
        <v>0.39020000000000005</v>
      </c>
      <c r="G284">
        <v>1</v>
      </c>
      <c r="H284">
        <f t="shared" si="9"/>
        <v>390.20000000000005</v>
      </c>
    </row>
    <row r="285" spans="1:8">
      <c r="A285" s="1" t="s">
        <v>36</v>
      </c>
      <c r="B285" s="1" t="s">
        <v>44</v>
      </c>
      <c r="C285" s="2" t="s">
        <v>22</v>
      </c>
      <c r="D285">
        <v>9.9699999999999997E-2</v>
      </c>
      <c r="E285">
        <v>5.3999999999999999E-2</v>
      </c>
      <c r="F285" s="5">
        <f t="shared" si="8"/>
        <v>4.5699999999999998E-2</v>
      </c>
      <c r="G285">
        <v>1</v>
      </c>
      <c r="H285">
        <f t="shared" si="9"/>
        <v>45.699999999999996</v>
      </c>
    </row>
    <row r="286" spans="1:8">
      <c r="A286" s="1" t="s">
        <v>36</v>
      </c>
      <c r="B286" s="1" t="s">
        <v>44</v>
      </c>
      <c r="C286" s="2" t="s">
        <v>23</v>
      </c>
      <c r="D286">
        <v>0.2276</v>
      </c>
      <c r="E286">
        <v>8.5000000000000006E-2</v>
      </c>
      <c r="F286" s="5">
        <f t="shared" si="8"/>
        <v>0.1426</v>
      </c>
      <c r="G286">
        <v>1</v>
      </c>
      <c r="H286">
        <f t="shared" si="9"/>
        <v>142.6</v>
      </c>
    </row>
    <row r="287" spans="1:8">
      <c r="A287" s="1" t="s">
        <v>36</v>
      </c>
      <c r="B287" s="1" t="s">
        <v>44</v>
      </c>
      <c r="C287" s="2" t="s">
        <v>24</v>
      </c>
      <c r="D287">
        <v>0.18629999999999999</v>
      </c>
      <c r="E287">
        <v>7.0000000000000007E-2</v>
      </c>
      <c r="F287" s="5">
        <f t="shared" si="8"/>
        <v>0.11629999999999999</v>
      </c>
      <c r="G287">
        <v>1</v>
      </c>
      <c r="H287">
        <f t="shared" si="9"/>
        <v>116.29999999999998</v>
      </c>
    </row>
    <row r="288" spans="1:8">
      <c r="A288" s="1" t="s">
        <v>36</v>
      </c>
      <c r="B288" s="1" t="s">
        <v>44</v>
      </c>
      <c r="C288" s="2" t="s">
        <v>26</v>
      </c>
      <c r="D288">
        <v>0.215</v>
      </c>
      <c r="E288">
        <v>8.2000000000000003E-2</v>
      </c>
      <c r="F288" s="5">
        <f t="shared" si="8"/>
        <v>0.13300000000000001</v>
      </c>
      <c r="G288">
        <v>1</v>
      </c>
      <c r="H288">
        <f t="shared" si="9"/>
        <v>133</v>
      </c>
    </row>
    <row r="289" spans="1:8">
      <c r="A289" s="1" t="s">
        <v>36</v>
      </c>
      <c r="B289" s="1" t="s">
        <v>44</v>
      </c>
      <c r="C289" s="2" t="s">
        <v>27</v>
      </c>
      <c r="D289">
        <v>0.2089</v>
      </c>
      <c r="E289">
        <v>7.4999999999999997E-2</v>
      </c>
      <c r="F289" s="5">
        <f t="shared" si="8"/>
        <v>0.13390000000000002</v>
      </c>
      <c r="G289">
        <v>1</v>
      </c>
      <c r="H289">
        <f t="shared" si="9"/>
        <v>133.9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949E-D8BF-6B45-A56D-82B2775DB6B5}">
  <dimension ref="A1:H289"/>
  <sheetViews>
    <sheetView zoomScale="144" workbookViewId="0">
      <selection activeCell="H2" sqref="H2"/>
    </sheetView>
  </sheetViews>
  <sheetFormatPr baseColWidth="10" defaultRowHeight="16"/>
  <cols>
    <col min="1" max="3" width="10.83203125" style="1"/>
    <col min="4" max="4" width="10.83203125" style="5"/>
  </cols>
  <sheetData>
    <row r="1" spans="1:8">
      <c r="A1" s="1" t="s">
        <v>0</v>
      </c>
      <c r="B1" s="1" t="s">
        <v>1</v>
      </c>
      <c r="C1" s="1" t="s">
        <v>3</v>
      </c>
      <c r="D1" s="4" t="s">
        <v>54</v>
      </c>
      <c r="E1" s="1" t="s">
        <v>55</v>
      </c>
      <c r="F1" s="1" t="s">
        <v>56</v>
      </c>
      <c r="G1" s="1" t="s">
        <v>57</v>
      </c>
      <c r="H1" s="1" t="s">
        <v>61</v>
      </c>
    </row>
    <row r="2" spans="1:8">
      <c r="A2" s="1" t="s">
        <v>35</v>
      </c>
      <c r="B2" s="1" t="s">
        <v>28</v>
      </c>
      <c r="C2" s="1" t="s">
        <v>5</v>
      </c>
      <c r="D2" s="5">
        <v>0.7198</v>
      </c>
      <c r="E2">
        <v>0.246</v>
      </c>
      <c r="F2" s="5">
        <f>D2-E2</f>
        <v>0.4738</v>
      </c>
      <c r="G2">
        <v>1</v>
      </c>
      <c r="H2">
        <f>1000*F2/G2</f>
        <v>473.8</v>
      </c>
    </row>
    <row r="3" spans="1:8">
      <c r="A3" s="1" t="s">
        <v>35</v>
      </c>
      <c r="B3" s="1" t="s">
        <v>28</v>
      </c>
      <c r="C3" s="1" t="s">
        <v>6</v>
      </c>
      <c r="D3" s="5">
        <v>0.56110000000000004</v>
      </c>
      <c r="E3">
        <v>0.16400000000000001</v>
      </c>
      <c r="F3" s="5">
        <f t="shared" ref="F3:F66" si="0">D3-E3</f>
        <v>0.39710000000000001</v>
      </c>
      <c r="G3">
        <v>1</v>
      </c>
      <c r="H3">
        <f t="shared" ref="H3:H66" si="1">1000*F3/G3</f>
        <v>397.1</v>
      </c>
    </row>
    <row r="4" spans="1:8">
      <c r="A4" s="1" t="s">
        <v>35</v>
      </c>
      <c r="B4" s="1" t="s">
        <v>28</v>
      </c>
      <c r="C4" s="1" t="s">
        <v>7</v>
      </c>
      <c r="D4" s="5">
        <v>0.61719999999999997</v>
      </c>
      <c r="E4">
        <v>0.189</v>
      </c>
      <c r="F4" s="5">
        <f t="shared" si="0"/>
        <v>0.42819999999999997</v>
      </c>
      <c r="G4">
        <v>1</v>
      </c>
      <c r="H4">
        <f t="shared" si="1"/>
        <v>428.2</v>
      </c>
    </row>
    <row r="5" spans="1:8">
      <c r="A5" s="1" t="s">
        <v>35</v>
      </c>
      <c r="B5" s="1" t="s">
        <v>28</v>
      </c>
      <c r="C5" s="1" t="s">
        <v>9</v>
      </c>
      <c r="D5" s="5">
        <v>0.74250000000000005</v>
      </c>
      <c r="E5">
        <v>0.24399999999999999</v>
      </c>
      <c r="F5" s="5">
        <f t="shared" si="0"/>
        <v>0.49850000000000005</v>
      </c>
      <c r="G5">
        <v>1</v>
      </c>
      <c r="H5">
        <f t="shared" si="1"/>
        <v>498.50000000000006</v>
      </c>
    </row>
    <row r="6" spans="1:8">
      <c r="A6" s="1" t="s">
        <v>35</v>
      </c>
      <c r="B6" s="1" t="s">
        <v>28</v>
      </c>
      <c r="C6" s="1" t="s">
        <v>10</v>
      </c>
      <c r="D6" s="5">
        <v>0.94210000000000005</v>
      </c>
      <c r="E6">
        <v>0.35899999999999999</v>
      </c>
      <c r="F6" s="5">
        <f t="shared" si="0"/>
        <v>0.58310000000000006</v>
      </c>
      <c r="G6">
        <v>1</v>
      </c>
      <c r="H6">
        <f t="shared" si="1"/>
        <v>583.1</v>
      </c>
    </row>
    <row r="7" spans="1:8">
      <c r="A7" s="1" t="s">
        <v>35</v>
      </c>
      <c r="B7" s="1" t="s">
        <v>28</v>
      </c>
      <c r="C7" s="1" t="s">
        <v>11</v>
      </c>
      <c r="D7" s="5">
        <v>0.6905</v>
      </c>
      <c r="E7">
        <v>0.20499999999999999</v>
      </c>
      <c r="F7" s="5">
        <f t="shared" si="0"/>
        <v>0.48550000000000004</v>
      </c>
      <c r="G7">
        <v>1</v>
      </c>
      <c r="H7">
        <f t="shared" si="1"/>
        <v>485.50000000000006</v>
      </c>
    </row>
    <row r="8" spans="1:8">
      <c r="A8" s="1" t="s">
        <v>35</v>
      </c>
      <c r="B8" s="1" t="s">
        <v>28</v>
      </c>
      <c r="C8" s="1" t="s">
        <v>13</v>
      </c>
      <c r="D8" s="5">
        <v>0.87870000000000004</v>
      </c>
      <c r="E8">
        <v>0.3</v>
      </c>
      <c r="F8" s="5">
        <f t="shared" si="0"/>
        <v>0.57869999999999999</v>
      </c>
      <c r="G8">
        <v>1</v>
      </c>
      <c r="H8">
        <f t="shared" si="1"/>
        <v>578.70000000000005</v>
      </c>
    </row>
    <row r="9" spans="1:8">
      <c r="A9" s="1" t="s">
        <v>35</v>
      </c>
      <c r="B9" s="1" t="s">
        <v>28</v>
      </c>
      <c r="C9" s="1" t="s">
        <v>14</v>
      </c>
      <c r="D9" s="5">
        <v>0.73829999999999996</v>
      </c>
      <c r="E9">
        <v>0.22800000000000001</v>
      </c>
      <c r="F9" s="5">
        <f t="shared" si="0"/>
        <v>0.51029999999999998</v>
      </c>
      <c r="G9">
        <v>1</v>
      </c>
      <c r="H9">
        <f t="shared" si="1"/>
        <v>510.29999999999995</v>
      </c>
    </row>
    <row r="10" spans="1:8">
      <c r="A10" s="1" t="s">
        <v>35</v>
      </c>
      <c r="B10" s="1" t="s">
        <v>28</v>
      </c>
      <c r="C10" s="1" t="s">
        <v>15</v>
      </c>
      <c r="D10" s="5">
        <v>0.73280000000000001</v>
      </c>
      <c r="E10">
        <v>0.23400000000000001</v>
      </c>
      <c r="F10" s="5">
        <f t="shared" si="0"/>
        <v>0.49880000000000002</v>
      </c>
      <c r="G10">
        <v>1</v>
      </c>
      <c r="H10">
        <f t="shared" si="1"/>
        <v>498.8</v>
      </c>
    </row>
    <row r="11" spans="1:8">
      <c r="A11" s="1" t="s">
        <v>35</v>
      </c>
      <c r="B11" s="1" t="s">
        <v>28</v>
      </c>
      <c r="C11" s="1" t="s">
        <v>17</v>
      </c>
      <c r="D11" s="5">
        <v>0.68830000000000002</v>
      </c>
      <c r="E11">
        <v>0.19700000000000001</v>
      </c>
      <c r="F11" s="5">
        <f t="shared" si="0"/>
        <v>0.49130000000000001</v>
      </c>
      <c r="G11">
        <v>1</v>
      </c>
      <c r="H11">
        <f t="shared" si="1"/>
        <v>491.3</v>
      </c>
    </row>
    <row r="12" spans="1:8">
      <c r="A12" s="1" t="s">
        <v>35</v>
      </c>
      <c r="B12" s="1" t="s">
        <v>28</v>
      </c>
      <c r="C12" s="1" t="s">
        <v>18</v>
      </c>
      <c r="D12" s="5">
        <v>0.65590000000000004</v>
      </c>
      <c r="E12">
        <v>0.16800000000000001</v>
      </c>
      <c r="F12" s="5">
        <f t="shared" si="0"/>
        <v>0.4879</v>
      </c>
      <c r="G12">
        <v>1</v>
      </c>
      <c r="H12">
        <f t="shared" si="1"/>
        <v>487.9</v>
      </c>
    </row>
    <row r="13" spans="1:8">
      <c r="A13" s="1" t="s">
        <v>35</v>
      </c>
      <c r="B13" s="1" t="s">
        <v>28</v>
      </c>
      <c r="C13" s="1" t="s">
        <v>19</v>
      </c>
      <c r="D13" s="5">
        <v>0.49209999999999998</v>
      </c>
      <c r="E13">
        <v>0.114</v>
      </c>
      <c r="F13" s="5">
        <f t="shared" si="0"/>
        <v>0.37809999999999999</v>
      </c>
      <c r="G13">
        <v>1</v>
      </c>
      <c r="H13">
        <f t="shared" si="1"/>
        <v>378.09999999999997</v>
      </c>
    </row>
    <row r="14" spans="1:8">
      <c r="A14" s="1" t="s">
        <v>35</v>
      </c>
      <c r="B14" s="1" t="s">
        <v>28</v>
      </c>
      <c r="C14" s="1" t="s">
        <v>21</v>
      </c>
      <c r="D14" s="5">
        <v>0.80230000000000001</v>
      </c>
      <c r="E14">
        <v>0.30399999999999999</v>
      </c>
      <c r="F14" s="5">
        <f t="shared" si="0"/>
        <v>0.49830000000000002</v>
      </c>
      <c r="G14">
        <v>1</v>
      </c>
      <c r="H14">
        <f t="shared" si="1"/>
        <v>498.3</v>
      </c>
    </row>
    <row r="15" spans="1:8">
      <c r="A15" s="1" t="s">
        <v>35</v>
      </c>
      <c r="B15" s="1" t="s">
        <v>28</v>
      </c>
      <c r="C15" s="1" t="s">
        <v>22</v>
      </c>
      <c r="D15" s="5">
        <v>0.77470000000000006</v>
      </c>
      <c r="E15">
        <v>0.24299999999999999</v>
      </c>
      <c r="F15" s="5">
        <f t="shared" si="0"/>
        <v>0.53170000000000006</v>
      </c>
      <c r="G15">
        <v>1</v>
      </c>
      <c r="H15">
        <f t="shared" si="1"/>
        <v>531.70000000000005</v>
      </c>
    </row>
    <row r="16" spans="1:8">
      <c r="A16" s="1" t="s">
        <v>35</v>
      </c>
      <c r="B16" s="1" t="s">
        <v>28</v>
      </c>
      <c r="C16" s="1" t="s">
        <v>23</v>
      </c>
      <c r="D16" s="5">
        <v>0.85750000000000004</v>
      </c>
      <c r="E16">
        <v>0.34799999999999998</v>
      </c>
      <c r="F16" s="5">
        <f t="shared" si="0"/>
        <v>0.50950000000000006</v>
      </c>
      <c r="G16">
        <v>1</v>
      </c>
      <c r="H16">
        <f t="shared" si="1"/>
        <v>509.50000000000006</v>
      </c>
    </row>
    <row r="17" spans="1:8">
      <c r="A17" s="1" t="s">
        <v>35</v>
      </c>
      <c r="B17" s="1" t="s">
        <v>28</v>
      </c>
      <c r="C17" s="1" t="s">
        <v>25</v>
      </c>
      <c r="D17" s="5">
        <v>0.72989999999999999</v>
      </c>
      <c r="E17">
        <v>0.20599999999999999</v>
      </c>
      <c r="F17" s="5">
        <f t="shared" si="0"/>
        <v>0.52390000000000003</v>
      </c>
      <c r="G17">
        <v>1</v>
      </c>
      <c r="H17">
        <f t="shared" si="1"/>
        <v>523.9</v>
      </c>
    </row>
    <row r="18" spans="1:8">
      <c r="A18" s="1" t="s">
        <v>35</v>
      </c>
      <c r="B18" s="1" t="s">
        <v>28</v>
      </c>
      <c r="C18" s="1" t="s">
        <v>26</v>
      </c>
      <c r="D18" s="5">
        <v>0.63770000000000004</v>
      </c>
      <c r="E18">
        <v>0.191</v>
      </c>
      <c r="F18" s="5">
        <f t="shared" si="0"/>
        <v>0.44670000000000004</v>
      </c>
      <c r="G18">
        <v>1</v>
      </c>
      <c r="H18">
        <f t="shared" si="1"/>
        <v>446.70000000000005</v>
      </c>
    </row>
    <row r="19" spans="1:8">
      <c r="A19" s="1" t="s">
        <v>35</v>
      </c>
      <c r="B19" s="1" t="s">
        <v>28</v>
      </c>
      <c r="C19" s="1" t="s">
        <v>27</v>
      </c>
      <c r="D19" s="5">
        <v>0.81259999999999999</v>
      </c>
      <c r="E19">
        <v>0.28599999999999998</v>
      </c>
      <c r="F19" s="5">
        <f t="shared" si="0"/>
        <v>0.52659999999999996</v>
      </c>
      <c r="G19">
        <v>1</v>
      </c>
      <c r="H19">
        <f t="shared" si="1"/>
        <v>526.59999999999991</v>
      </c>
    </row>
    <row r="20" spans="1:8">
      <c r="A20" s="1" t="s">
        <v>35</v>
      </c>
      <c r="B20" s="1" t="s">
        <v>2</v>
      </c>
      <c r="C20" s="1" t="s">
        <v>5</v>
      </c>
      <c r="D20" s="5">
        <v>0.83209999999999995</v>
      </c>
      <c r="E20">
        <v>0.247</v>
      </c>
      <c r="F20" s="5">
        <f t="shared" si="0"/>
        <v>0.58509999999999995</v>
      </c>
      <c r="G20">
        <v>1</v>
      </c>
      <c r="H20">
        <f t="shared" si="1"/>
        <v>585.09999999999991</v>
      </c>
    </row>
    <row r="21" spans="1:8">
      <c r="A21" s="1" t="s">
        <v>35</v>
      </c>
      <c r="B21" s="1" t="s">
        <v>2</v>
      </c>
      <c r="C21" s="1" t="s">
        <v>6</v>
      </c>
      <c r="D21" s="5">
        <v>0.76190000000000002</v>
      </c>
      <c r="E21">
        <v>0.253</v>
      </c>
      <c r="F21" s="5">
        <f t="shared" si="0"/>
        <v>0.50890000000000002</v>
      </c>
      <c r="G21">
        <v>1</v>
      </c>
      <c r="H21">
        <f t="shared" si="1"/>
        <v>508.90000000000003</v>
      </c>
    </row>
    <row r="22" spans="1:8">
      <c r="A22" s="1" t="s">
        <v>35</v>
      </c>
      <c r="B22" s="1" t="s">
        <v>2</v>
      </c>
      <c r="C22" s="1" t="s">
        <v>7</v>
      </c>
      <c r="D22" s="5">
        <v>0.628</v>
      </c>
      <c r="E22">
        <v>0.16500000000000001</v>
      </c>
      <c r="F22" s="5">
        <f t="shared" si="0"/>
        <v>0.46299999999999997</v>
      </c>
      <c r="G22">
        <v>1</v>
      </c>
      <c r="H22">
        <f t="shared" si="1"/>
        <v>462.99999999999994</v>
      </c>
    </row>
    <row r="23" spans="1:8">
      <c r="A23" s="1" t="s">
        <v>35</v>
      </c>
      <c r="B23" s="1" t="s">
        <v>2</v>
      </c>
      <c r="C23" s="1" t="s">
        <v>9</v>
      </c>
      <c r="D23" s="5">
        <v>0.79969999999999997</v>
      </c>
      <c r="E23">
        <v>0.35899999999999999</v>
      </c>
      <c r="F23" s="5">
        <f t="shared" si="0"/>
        <v>0.44069999999999998</v>
      </c>
      <c r="G23">
        <v>1</v>
      </c>
      <c r="H23">
        <f t="shared" si="1"/>
        <v>440.7</v>
      </c>
    </row>
    <row r="24" spans="1:8">
      <c r="A24" s="1" t="s">
        <v>35</v>
      </c>
      <c r="B24" s="1" t="s">
        <v>2</v>
      </c>
      <c r="C24" s="1" t="s">
        <v>10</v>
      </c>
      <c r="D24" s="5">
        <v>0.87419999999999998</v>
      </c>
      <c r="E24">
        <v>0.30099999999999999</v>
      </c>
      <c r="F24" s="5">
        <f t="shared" si="0"/>
        <v>0.57319999999999993</v>
      </c>
      <c r="G24">
        <v>1</v>
      </c>
      <c r="H24">
        <f t="shared" si="1"/>
        <v>573.19999999999993</v>
      </c>
    </row>
    <row r="25" spans="1:8">
      <c r="A25" s="1" t="s">
        <v>35</v>
      </c>
      <c r="B25" s="1" t="s">
        <v>2</v>
      </c>
      <c r="C25" s="1" t="s">
        <v>11</v>
      </c>
      <c r="D25" s="5">
        <v>0.7</v>
      </c>
      <c r="E25">
        <v>0.20200000000000001</v>
      </c>
      <c r="F25" s="5">
        <f t="shared" si="0"/>
        <v>0.49799999999999994</v>
      </c>
      <c r="G25">
        <v>1</v>
      </c>
      <c r="H25">
        <f t="shared" si="1"/>
        <v>497.99999999999994</v>
      </c>
    </row>
    <row r="26" spans="1:8">
      <c r="A26" s="1" t="s">
        <v>35</v>
      </c>
      <c r="B26" s="1" t="s">
        <v>2</v>
      </c>
      <c r="C26" s="1" t="s">
        <v>13</v>
      </c>
      <c r="D26" s="5">
        <v>0.65200000000000002</v>
      </c>
      <c r="E26">
        <v>0.16</v>
      </c>
      <c r="F26" s="5">
        <f t="shared" si="0"/>
        <v>0.49199999999999999</v>
      </c>
      <c r="G26">
        <v>1</v>
      </c>
      <c r="H26">
        <f t="shared" si="1"/>
        <v>492</v>
      </c>
    </row>
    <row r="27" spans="1:8">
      <c r="A27" s="1" t="s">
        <v>35</v>
      </c>
      <c r="B27" s="1" t="s">
        <v>2</v>
      </c>
      <c r="C27" s="1" t="s">
        <v>14</v>
      </c>
      <c r="D27" s="5">
        <v>0.55000000000000004</v>
      </c>
      <c r="E27">
        <v>0.14399999999999999</v>
      </c>
      <c r="F27" s="5">
        <f t="shared" si="0"/>
        <v>0.40600000000000003</v>
      </c>
      <c r="G27">
        <v>1</v>
      </c>
      <c r="H27">
        <f t="shared" si="1"/>
        <v>406</v>
      </c>
    </row>
    <row r="28" spans="1:8">
      <c r="A28" s="1" t="s">
        <v>35</v>
      </c>
      <c r="B28" s="1" t="s">
        <v>2</v>
      </c>
      <c r="C28" s="1" t="s">
        <v>15</v>
      </c>
      <c r="D28" s="5">
        <v>0.8649</v>
      </c>
      <c r="E28">
        <v>0.32700000000000001</v>
      </c>
      <c r="F28" s="5">
        <f t="shared" si="0"/>
        <v>0.53790000000000004</v>
      </c>
      <c r="G28">
        <v>1</v>
      </c>
      <c r="H28">
        <f t="shared" si="1"/>
        <v>537.90000000000009</v>
      </c>
    </row>
    <row r="29" spans="1:8">
      <c r="A29" s="1" t="s">
        <v>35</v>
      </c>
      <c r="B29" s="1" t="s">
        <v>2</v>
      </c>
      <c r="C29" s="1" t="s">
        <v>17</v>
      </c>
      <c r="D29" s="5">
        <v>0.7903</v>
      </c>
      <c r="E29">
        <v>0.28899999999999998</v>
      </c>
      <c r="F29" s="5">
        <f t="shared" si="0"/>
        <v>0.50130000000000008</v>
      </c>
      <c r="G29">
        <v>1</v>
      </c>
      <c r="H29">
        <f t="shared" si="1"/>
        <v>501.30000000000007</v>
      </c>
    </row>
    <row r="30" spans="1:8">
      <c r="A30" s="1" t="s">
        <v>35</v>
      </c>
      <c r="B30" s="1" t="s">
        <v>2</v>
      </c>
      <c r="C30" s="1" t="s">
        <v>18</v>
      </c>
      <c r="D30" s="5">
        <v>0.76359999999999995</v>
      </c>
      <c r="E30">
        <v>0.25600000000000001</v>
      </c>
      <c r="F30" s="5">
        <f t="shared" si="0"/>
        <v>0.50759999999999994</v>
      </c>
      <c r="G30">
        <v>1</v>
      </c>
      <c r="H30">
        <f t="shared" si="1"/>
        <v>507.59999999999997</v>
      </c>
    </row>
    <row r="31" spans="1:8">
      <c r="A31" s="1" t="s">
        <v>35</v>
      </c>
      <c r="B31" s="1" t="s">
        <v>2</v>
      </c>
      <c r="C31" s="1" t="s">
        <v>19</v>
      </c>
      <c r="D31" s="5">
        <v>0.66830000000000001</v>
      </c>
      <c r="E31">
        <v>0.17899999999999999</v>
      </c>
      <c r="F31" s="5">
        <f t="shared" si="0"/>
        <v>0.48930000000000001</v>
      </c>
      <c r="G31">
        <v>1</v>
      </c>
      <c r="H31">
        <f t="shared" si="1"/>
        <v>489.3</v>
      </c>
    </row>
    <row r="32" spans="1:8">
      <c r="A32" s="1" t="s">
        <v>35</v>
      </c>
      <c r="B32" s="1" t="s">
        <v>2</v>
      </c>
      <c r="C32" s="1" t="s">
        <v>21</v>
      </c>
      <c r="D32" s="5">
        <v>0.8085</v>
      </c>
      <c r="E32">
        <v>0.311</v>
      </c>
      <c r="F32" s="5">
        <f t="shared" si="0"/>
        <v>0.4975</v>
      </c>
      <c r="G32">
        <v>1</v>
      </c>
      <c r="H32">
        <f t="shared" si="1"/>
        <v>497.5</v>
      </c>
    </row>
    <row r="33" spans="1:8">
      <c r="A33" s="1" t="s">
        <v>35</v>
      </c>
      <c r="B33" s="1" t="s">
        <v>2</v>
      </c>
      <c r="C33" s="1" t="s">
        <v>22</v>
      </c>
      <c r="D33" s="5">
        <v>0.61880000000000002</v>
      </c>
      <c r="E33">
        <v>0.17799999999999999</v>
      </c>
      <c r="F33" s="5">
        <f t="shared" si="0"/>
        <v>0.44080000000000003</v>
      </c>
      <c r="G33">
        <v>1</v>
      </c>
      <c r="H33">
        <f t="shared" si="1"/>
        <v>440.8</v>
      </c>
    </row>
    <row r="34" spans="1:8">
      <c r="A34" s="1" t="s">
        <v>35</v>
      </c>
      <c r="B34" s="1" t="s">
        <v>2</v>
      </c>
      <c r="C34" s="1" t="s">
        <v>23</v>
      </c>
      <c r="D34" s="5">
        <v>0.46929999999999999</v>
      </c>
      <c r="E34">
        <v>0.109</v>
      </c>
      <c r="F34" s="5">
        <f t="shared" si="0"/>
        <v>0.36030000000000001</v>
      </c>
      <c r="G34">
        <v>1</v>
      </c>
      <c r="H34">
        <f t="shared" si="1"/>
        <v>360.3</v>
      </c>
    </row>
    <row r="35" spans="1:8">
      <c r="A35" s="1" t="s">
        <v>35</v>
      </c>
      <c r="B35" s="1" t="s">
        <v>2</v>
      </c>
      <c r="C35" s="1" t="s">
        <v>25</v>
      </c>
      <c r="D35" s="5">
        <v>0.64970000000000006</v>
      </c>
      <c r="E35">
        <v>0.183</v>
      </c>
      <c r="F35" s="5">
        <f t="shared" si="0"/>
        <v>0.46670000000000006</v>
      </c>
      <c r="G35">
        <v>1</v>
      </c>
      <c r="H35">
        <f t="shared" si="1"/>
        <v>466.70000000000005</v>
      </c>
    </row>
    <row r="36" spans="1:8">
      <c r="A36" s="1" t="s">
        <v>35</v>
      </c>
      <c r="B36" s="1" t="s">
        <v>2</v>
      </c>
      <c r="C36" s="1" t="s">
        <v>26</v>
      </c>
      <c r="D36" s="5">
        <v>0.72750000000000004</v>
      </c>
      <c r="E36">
        <v>0.26300000000000001</v>
      </c>
      <c r="F36" s="5">
        <f t="shared" si="0"/>
        <v>0.46450000000000002</v>
      </c>
      <c r="G36">
        <v>1</v>
      </c>
      <c r="H36">
        <f t="shared" si="1"/>
        <v>464.5</v>
      </c>
    </row>
    <row r="37" spans="1:8">
      <c r="A37" s="1" t="s">
        <v>35</v>
      </c>
      <c r="B37" s="1" t="s">
        <v>2</v>
      </c>
      <c r="C37" s="1" t="s">
        <v>27</v>
      </c>
      <c r="D37" s="5">
        <v>0.59279999999999999</v>
      </c>
      <c r="E37">
        <v>0.19700000000000001</v>
      </c>
      <c r="F37" s="5">
        <f t="shared" si="0"/>
        <v>0.39579999999999999</v>
      </c>
      <c r="G37">
        <v>1</v>
      </c>
      <c r="H37">
        <f t="shared" si="1"/>
        <v>395.8</v>
      </c>
    </row>
    <row r="38" spans="1:8">
      <c r="A38" s="1" t="s">
        <v>35</v>
      </c>
      <c r="B38" s="1" t="s">
        <v>29</v>
      </c>
      <c r="C38" s="1" t="s">
        <v>5</v>
      </c>
      <c r="D38" s="5">
        <v>0.82489999999999997</v>
      </c>
      <c r="E38">
        <v>0.378</v>
      </c>
      <c r="F38" s="5">
        <f t="shared" si="0"/>
        <v>0.44689999999999996</v>
      </c>
      <c r="G38">
        <v>1</v>
      </c>
      <c r="H38">
        <f t="shared" si="1"/>
        <v>446.9</v>
      </c>
    </row>
    <row r="39" spans="1:8">
      <c r="A39" s="1" t="s">
        <v>35</v>
      </c>
      <c r="B39" s="1" t="s">
        <v>29</v>
      </c>
      <c r="C39" s="1" t="s">
        <v>6</v>
      </c>
      <c r="D39" s="5">
        <v>0.57569999999999999</v>
      </c>
      <c r="E39">
        <v>0.192</v>
      </c>
      <c r="F39" s="5">
        <f t="shared" si="0"/>
        <v>0.38369999999999999</v>
      </c>
      <c r="G39">
        <v>1</v>
      </c>
      <c r="H39">
        <f t="shared" si="1"/>
        <v>383.7</v>
      </c>
    </row>
    <row r="40" spans="1:8">
      <c r="A40" s="1" t="s">
        <v>35</v>
      </c>
      <c r="B40" s="1" t="s">
        <v>29</v>
      </c>
      <c r="C40" s="1" t="s">
        <v>7</v>
      </c>
      <c r="D40" s="5">
        <v>0.76170000000000004</v>
      </c>
      <c r="E40">
        <v>0.34</v>
      </c>
      <c r="F40" s="5">
        <f t="shared" si="0"/>
        <v>0.42170000000000002</v>
      </c>
      <c r="G40">
        <v>1</v>
      </c>
      <c r="H40">
        <f t="shared" si="1"/>
        <v>421.70000000000005</v>
      </c>
    </row>
    <row r="41" spans="1:8">
      <c r="A41" s="1" t="s">
        <v>35</v>
      </c>
      <c r="B41" s="1" t="s">
        <v>29</v>
      </c>
      <c r="C41" s="1" t="s">
        <v>9</v>
      </c>
      <c r="D41" s="5">
        <v>0.80420000000000003</v>
      </c>
      <c r="E41">
        <v>0.311</v>
      </c>
      <c r="F41" s="5">
        <f t="shared" si="0"/>
        <v>0.49320000000000003</v>
      </c>
      <c r="G41">
        <v>1</v>
      </c>
      <c r="H41">
        <f t="shared" si="1"/>
        <v>493.20000000000005</v>
      </c>
    </row>
    <row r="42" spans="1:8">
      <c r="A42" s="1" t="s">
        <v>35</v>
      </c>
      <c r="B42" s="1" t="s">
        <v>29</v>
      </c>
      <c r="C42" s="1" t="s">
        <v>10</v>
      </c>
      <c r="D42" s="5">
        <v>0.68100000000000005</v>
      </c>
      <c r="E42">
        <v>0.24099999999999999</v>
      </c>
      <c r="F42" s="5">
        <f t="shared" si="0"/>
        <v>0.44000000000000006</v>
      </c>
      <c r="G42">
        <v>1</v>
      </c>
      <c r="H42">
        <f t="shared" si="1"/>
        <v>440.00000000000006</v>
      </c>
    </row>
    <row r="43" spans="1:8">
      <c r="A43" s="1" t="s">
        <v>35</v>
      </c>
      <c r="B43" s="1" t="s">
        <v>29</v>
      </c>
      <c r="C43" s="1" t="s">
        <v>11</v>
      </c>
      <c r="D43" s="5">
        <v>0.75419999999999998</v>
      </c>
      <c r="E43">
        <v>0.314</v>
      </c>
      <c r="F43" s="5">
        <f t="shared" si="0"/>
        <v>0.44019999999999998</v>
      </c>
      <c r="G43">
        <v>1</v>
      </c>
      <c r="H43">
        <f t="shared" si="1"/>
        <v>440.2</v>
      </c>
    </row>
    <row r="44" spans="1:8">
      <c r="A44" s="1" t="s">
        <v>35</v>
      </c>
      <c r="B44" s="1" t="s">
        <v>29</v>
      </c>
      <c r="C44" s="1" t="s">
        <v>13</v>
      </c>
      <c r="D44" s="5">
        <v>0.85799999999999998</v>
      </c>
      <c r="E44">
        <v>0.36199999999999999</v>
      </c>
      <c r="F44" s="5">
        <f t="shared" si="0"/>
        <v>0.496</v>
      </c>
      <c r="G44">
        <v>1</v>
      </c>
      <c r="H44">
        <f t="shared" si="1"/>
        <v>496</v>
      </c>
    </row>
    <row r="45" spans="1:8">
      <c r="A45" s="1" t="s">
        <v>35</v>
      </c>
      <c r="B45" s="1" t="s">
        <v>29</v>
      </c>
      <c r="C45" s="1" t="s">
        <v>14</v>
      </c>
      <c r="D45" s="5">
        <v>0.90510000000000002</v>
      </c>
      <c r="E45">
        <v>0.42399999999999999</v>
      </c>
      <c r="F45" s="5">
        <f t="shared" si="0"/>
        <v>0.48110000000000003</v>
      </c>
      <c r="G45">
        <v>1</v>
      </c>
      <c r="H45">
        <f t="shared" si="1"/>
        <v>481.1</v>
      </c>
    </row>
    <row r="46" spans="1:8">
      <c r="A46" s="1" t="s">
        <v>35</v>
      </c>
      <c r="B46" s="1" t="s">
        <v>29</v>
      </c>
      <c r="C46" s="1" t="s">
        <v>15</v>
      </c>
      <c r="D46" s="5">
        <v>0.69140000000000001</v>
      </c>
      <c r="E46">
        <v>0.33100000000000002</v>
      </c>
      <c r="F46" s="5">
        <f t="shared" si="0"/>
        <v>0.3604</v>
      </c>
      <c r="G46">
        <v>1</v>
      </c>
      <c r="H46">
        <f t="shared" si="1"/>
        <v>360.4</v>
      </c>
    </row>
    <row r="47" spans="1:8">
      <c r="A47" s="1" t="s">
        <v>35</v>
      </c>
      <c r="B47" s="1" t="s">
        <v>29</v>
      </c>
      <c r="C47" s="1" t="s">
        <v>17</v>
      </c>
      <c r="D47" s="5">
        <v>1.4855</v>
      </c>
      <c r="E47">
        <v>0.71699999999999997</v>
      </c>
      <c r="F47" s="5">
        <f t="shared" si="0"/>
        <v>0.76850000000000007</v>
      </c>
      <c r="G47">
        <v>1</v>
      </c>
      <c r="H47">
        <f t="shared" si="1"/>
        <v>768.50000000000011</v>
      </c>
    </row>
    <row r="48" spans="1:8">
      <c r="A48" s="1" t="s">
        <v>35</v>
      </c>
      <c r="B48" s="1" t="s">
        <v>29</v>
      </c>
      <c r="C48" s="1" t="s">
        <v>18</v>
      </c>
      <c r="D48" s="5">
        <v>0.56530000000000002</v>
      </c>
      <c r="E48">
        <v>0.19800000000000001</v>
      </c>
      <c r="F48" s="5">
        <f t="shared" si="0"/>
        <v>0.36730000000000002</v>
      </c>
      <c r="G48">
        <v>1</v>
      </c>
      <c r="H48">
        <f t="shared" si="1"/>
        <v>367.3</v>
      </c>
    </row>
    <row r="49" spans="1:8">
      <c r="A49" s="1" t="s">
        <v>35</v>
      </c>
      <c r="B49" s="1" t="s">
        <v>29</v>
      </c>
      <c r="C49" s="1" t="s">
        <v>19</v>
      </c>
      <c r="D49" s="5">
        <v>0.66269999999999996</v>
      </c>
      <c r="E49">
        <v>0.20599999999999999</v>
      </c>
      <c r="F49" s="5">
        <f t="shared" si="0"/>
        <v>0.45669999999999999</v>
      </c>
      <c r="G49">
        <v>1</v>
      </c>
      <c r="H49">
        <f t="shared" si="1"/>
        <v>456.7</v>
      </c>
    </row>
    <row r="50" spans="1:8">
      <c r="A50" s="1" t="s">
        <v>35</v>
      </c>
      <c r="B50" s="1" t="s">
        <v>29</v>
      </c>
      <c r="C50" s="1" t="s">
        <v>21</v>
      </c>
      <c r="D50" s="5">
        <v>0.76839999999999997</v>
      </c>
      <c r="E50">
        <v>0.27900000000000003</v>
      </c>
      <c r="F50" s="5">
        <f t="shared" si="0"/>
        <v>0.48939999999999995</v>
      </c>
      <c r="G50">
        <v>1</v>
      </c>
      <c r="H50">
        <f t="shared" si="1"/>
        <v>489.39999999999992</v>
      </c>
    </row>
    <row r="51" spans="1:8">
      <c r="A51" s="1" t="s">
        <v>35</v>
      </c>
      <c r="B51" s="1" t="s">
        <v>29</v>
      </c>
      <c r="C51" s="1" t="s">
        <v>22</v>
      </c>
      <c r="D51" s="5">
        <v>0.80700000000000005</v>
      </c>
      <c r="E51">
        <v>0.29899999999999999</v>
      </c>
      <c r="F51" s="5">
        <f t="shared" si="0"/>
        <v>0.50800000000000001</v>
      </c>
      <c r="G51">
        <v>1</v>
      </c>
      <c r="H51">
        <f t="shared" si="1"/>
        <v>508</v>
      </c>
    </row>
    <row r="52" spans="1:8">
      <c r="A52" s="1" t="s">
        <v>35</v>
      </c>
      <c r="B52" s="1" t="s">
        <v>29</v>
      </c>
      <c r="C52" s="1" t="s">
        <v>23</v>
      </c>
      <c r="D52" s="5">
        <v>0.61670000000000003</v>
      </c>
      <c r="E52">
        <v>0.245</v>
      </c>
      <c r="F52" s="5">
        <f t="shared" si="0"/>
        <v>0.37170000000000003</v>
      </c>
      <c r="G52">
        <v>1</v>
      </c>
      <c r="H52">
        <f t="shared" si="1"/>
        <v>371.70000000000005</v>
      </c>
    </row>
    <row r="53" spans="1:8">
      <c r="A53" s="1" t="s">
        <v>35</v>
      </c>
      <c r="B53" s="1" t="s">
        <v>29</v>
      </c>
      <c r="C53" s="1" t="s">
        <v>25</v>
      </c>
      <c r="D53" s="5">
        <v>0.69569999999999999</v>
      </c>
      <c r="E53">
        <v>0.23699999999999999</v>
      </c>
      <c r="F53" s="5">
        <f t="shared" si="0"/>
        <v>0.4587</v>
      </c>
      <c r="G53">
        <v>1</v>
      </c>
      <c r="H53">
        <f t="shared" si="1"/>
        <v>458.7</v>
      </c>
    </row>
    <row r="54" spans="1:8">
      <c r="A54" s="1" t="s">
        <v>35</v>
      </c>
      <c r="B54" s="1" t="s">
        <v>29</v>
      </c>
      <c r="C54" s="1" t="s">
        <v>26</v>
      </c>
      <c r="D54" s="5">
        <v>0.67689999999999995</v>
      </c>
      <c r="E54">
        <v>0.29299999999999998</v>
      </c>
      <c r="F54" s="5">
        <f t="shared" si="0"/>
        <v>0.38389999999999996</v>
      </c>
      <c r="G54">
        <v>1</v>
      </c>
      <c r="H54">
        <f t="shared" si="1"/>
        <v>383.9</v>
      </c>
    </row>
    <row r="55" spans="1:8">
      <c r="A55" s="1" t="s">
        <v>35</v>
      </c>
      <c r="B55" s="1" t="s">
        <v>29</v>
      </c>
      <c r="C55" s="1" t="s">
        <v>27</v>
      </c>
      <c r="D55" s="5">
        <v>0.52249999999999996</v>
      </c>
      <c r="E55">
        <v>0.14199999999999999</v>
      </c>
      <c r="F55" s="5">
        <f t="shared" si="0"/>
        <v>0.38049999999999995</v>
      </c>
      <c r="G55">
        <v>1</v>
      </c>
      <c r="H55">
        <f t="shared" si="1"/>
        <v>380.49999999999994</v>
      </c>
    </row>
    <row r="56" spans="1:8">
      <c r="A56" s="1" t="s">
        <v>35</v>
      </c>
      <c r="B56" s="1" t="s">
        <v>30</v>
      </c>
      <c r="C56" s="1" t="s">
        <v>5</v>
      </c>
      <c r="D56" s="5">
        <v>0.61419999999999997</v>
      </c>
      <c r="E56">
        <v>6.6000000000000003E-2</v>
      </c>
      <c r="F56" s="5">
        <f t="shared" si="0"/>
        <v>0.54820000000000002</v>
      </c>
      <c r="G56">
        <v>5</v>
      </c>
      <c r="H56">
        <f t="shared" si="1"/>
        <v>109.64000000000001</v>
      </c>
    </row>
    <row r="57" spans="1:8">
      <c r="A57" s="1" t="s">
        <v>35</v>
      </c>
      <c r="B57" s="1" t="s">
        <v>30</v>
      </c>
      <c r="C57" s="1" t="s">
        <v>6</v>
      </c>
      <c r="D57" s="5">
        <v>0.3916</v>
      </c>
      <c r="E57">
        <v>8.2000000000000003E-2</v>
      </c>
      <c r="F57" s="5">
        <f t="shared" si="0"/>
        <v>0.30959999999999999</v>
      </c>
      <c r="G57">
        <v>5</v>
      </c>
      <c r="H57">
        <f t="shared" si="1"/>
        <v>61.919999999999995</v>
      </c>
    </row>
    <row r="58" spans="1:8">
      <c r="A58" s="1" t="s">
        <v>35</v>
      </c>
      <c r="B58" s="1" t="s">
        <v>30</v>
      </c>
      <c r="C58" s="1" t="s">
        <v>7</v>
      </c>
      <c r="D58" s="5">
        <v>0.45019999999999999</v>
      </c>
      <c r="E58">
        <v>6.5000000000000002E-2</v>
      </c>
      <c r="F58" s="5">
        <f t="shared" si="0"/>
        <v>0.38519999999999999</v>
      </c>
      <c r="G58">
        <v>5</v>
      </c>
      <c r="H58">
        <f t="shared" si="1"/>
        <v>77.039999999999992</v>
      </c>
    </row>
    <row r="59" spans="1:8">
      <c r="A59" s="1" t="s">
        <v>35</v>
      </c>
      <c r="B59" s="1" t="s">
        <v>30</v>
      </c>
      <c r="C59" s="1" t="s">
        <v>9</v>
      </c>
      <c r="D59" s="5">
        <v>0.66790000000000005</v>
      </c>
      <c r="E59">
        <v>9.5000000000000001E-2</v>
      </c>
      <c r="F59" s="5">
        <f t="shared" si="0"/>
        <v>0.57290000000000008</v>
      </c>
      <c r="G59">
        <v>5</v>
      </c>
      <c r="H59">
        <f t="shared" si="1"/>
        <v>114.58000000000001</v>
      </c>
    </row>
    <row r="60" spans="1:8">
      <c r="A60" s="1" t="s">
        <v>35</v>
      </c>
      <c r="B60" s="1" t="s">
        <v>30</v>
      </c>
      <c r="C60" s="1" t="s">
        <v>10</v>
      </c>
      <c r="D60" s="5">
        <v>0.66639999999999999</v>
      </c>
      <c r="E60">
        <v>7.6999999999999999E-2</v>
      </c>
      <c r="F60" s="5">
        <f t="shared" si="0"/>
        <v>0.58940000000000003</v>
      </c>
      <c r="G60">
        <v>5</v>
      </c>
      <c r="H60">
        <f t="shared" si="1"/>
        <v>117.88000000000002</v>
      </c>
    </row>
    <row r="61" spans="1:8">
      <c r="A61" s="1" t="s">
        <v>35</v>
      </c>
      <c r="B61" s="1" t="s">
        <v>30</v>
      </c>
      <c r="C61" s="1" t="s">
        <v>11</v>
      </c>
      <c r="D61" s="5">
        <v>0.56079999999999997</v>
      </c>
      <c r="E61">
        <v>7.3999999999999996E-2</v>
      </c>
      <c r="F61" s="5">
        <f t="shared" si="0"/>
        <v>0.48679999999999995</v>
      </c>
      <c r="G61">
        <v>5</v>
      </c>
      <c r="H61">
        <f t="shared" si="1"/>
        <v>97.359999999999985</v>
      </c>
    </row>
    <row r="62" spans="1:8">
      <c r="A62" s="1" t="s">
        <v>35</v>
      </c>
      <c r="B62" s="1" t="s">
        <v>30</v>
      </c>
      <c r="C62" s="1" t="s">
        <v>13</v>
      </c>
      <c r="D62" s="5">
        <v>0.51980000000000004</v>
      </c>
      <c r="E62">
        <v>6.8000000000000005E-2</v>
      </c>
      <c r="F62" s="5">
        <f t="shared" si="0"/>
        <v>0.45180000000000003</v>
      </c>
      <c r="G62">
        <v>5</v>
      </c>
      <c r="H62">
        <f t="shared" si="1"/>
        <v>90.36</v>
      </c>
    </row>
    <row r="63" spans="1:8">
      <c r="A63" s="1" t="s">
        <v>35</v>
      </c>
      <c r="B63" s="1" t="s">
        <v>30</v>
      </c>
      <c r="C63" s="1" t="s">
        <v>14</v>
      </c>
      <c r="D63" s="5">
        <v>0.30449999999999999</v>
      </c>
      <c r="E63">
        <v>5.7000000000000002E-2</v>
      </c>
      <c r="F63" s="5">
        <f t="shared" si="0"/>
        <v>0.2475</v>
      </c>
      <c r="G63">
        <v>5</v>
      </c>
      <c r="H63">
        <f t="shared" si="1"/>
        <v>49.5</v>
      </c>
    </row>
    <row r="64" spans="1:8">
      <c r="A64" s="1" t="s">
        <v>35</v>
      </c>
      <c r="B64" s="1" t="s">
        <v>30</v>
      </c>
      <c r="C64" s="1" t="s">
        <v>15</v>
      </c>
      <c r="D64" s="5">
        <v>0.55610000000000004</v>
      </c>
      <c r="E64">
        <v>6.8000000000000005E-2</v>
      </c>
      <c r="F64" s="5">
        <f t="shared" si="0"/>
        <v>0.48810000000000003</v>
      </c>
      <c r="G64">
        <v>5</v>
      </c>
      <c r="H64">
        <f t="shared" si="1"/>
        <v>97.62</v>
      </c>
    </row>
    <row r="65" spans="1:8">
      <c r="A65" s="1" t="s">
        <v>35</v>
      </c>
      <c r="B65" s="1" t="s">
        <v>30</v>
      </c>
      <c r="C65" s="1" t="s">
        <v>17</v>
      </c>
      <c r="D65" s="5">
        <v>0.46500000000000002</v>
      </c>
      <c r="E65">
        <v>6.2E-2</v>
      </c>
      <c r="F65" s="5">
        <f t="shared" si="0"/>
        <v>0.40300000000000002</v>
      </c>
      <c r="G65">
        <v>5</v>
      </c>
      <c r="H65">
        <f t="shared" si="1"/>
        <v>80.599999999999994</v>
      </c>
    </row>
    <row r="66" spans="1:8">
      <c r="A66" s="1" t="s">
        <v>35</v>
      </c>
      <c r="B66" s="1" t="s">
        <v>30</v>
      </c>
      <c r="C66" s="1" t="s">
        <v>18</v>
      </c>
      <c r="D66" s="5">
        <v>0.40379999999999999</v>
      </c>
      <c r="E66">
        <v>6.9000000000000006E-2</v>
      </c>
      <c r="F66" s="5">
        <f t="shared" si="0"/>
        <v>0.33479999999999999</v>
      </c>
      <c r="G66">
        <v>5</v>
      </c>
      <c r="H66">
        <f t="shared" si="1"/>
        <v>66.960000000000008</v>
      </c>
    </row>
    <row r="67" spans="1:8">
      <c r="A67" s="1" t="s">
        <v>35</v>
      </c>
      <c r="B67" s="1" t="s">
        <v>30</v>
      </c>
      <c r="C67" s="1" t="s">
        <v>19</v>
      </c>
      <c r="D67" s="5">
        <v>0.7117</v>
      </c>
      <c r="E67">
        <v>7.6999999999999999E-2</v>
      </c>
      <c r="F67" s="5">
        <f t="shared" ref="F67:F130" si="2">D67-E67</f>
        <v>0.63470000000000004</v>
      </c>
      <c r="G67">
        <v>5</v>
      </c>
      <c r="H67">
        <f t="shared" ref="H67:H130" si="3">1000*F67/G67</f>
        <v>126.94000000000001</v>
      </c>
    </row>
    <row r="68" spans="1:8">
      <c r="A68" s="1" t="s">
        <v>35</v>
      </c>
      <c r="B68" s="1" t="s">
        <v>30</v>
      </c>
      <c r="C68" s="1" t="s">
        <v>21</v>
      </c>
      <c r="D68" s="5">
        <v>0.73219999999999996</v>
      </c>
      <c r="E68">
        <v>9.1999999999999998E-2</v>
      </c>
      <c r="F68" s="5">
        <f t="shared" si="2"/>
        <v>0.64019999999999999</v>
      </c>
      <c r="G68">
        <v>5</v>
      </c>
      <c r="H68">
        <f t="shared" si="3"/>
        <v>128.04000000000002</v>
      </c>
    </row>
    <row r="69" spans="1:8">
      <c r="A69" s="1" t="s">
        <v>35</v>
      </c>
      <c r="B69" s="1" t="s">
        <v>30</v>
      </c>
      <c r="C69" s="1" t="s">
        <v>22</v>
      </c>
      <c r="D69" s="5">
        <v>0.54790000000000005</v>
      </c>
      <c r="E69">
        <v>6.5000000000000002E-2</v>
      </c>
      <c r="F69" s="5">
        <f t="shared" si="2"/>
        <v>0.48290000000000005</v>
      </c>
      <c r="G69">
        <v>5</v>
      </c>
      <c r="H69">
        <f t="shared" si="3"/>
        <v>96.580000000000013</v>
      </c>
    </row>
    <row r="70" spans="1:8">
      <c r="A70" s="1" t="s">
        <v>35</v>
      </c>
      <c r="B70" s="1" t="s">
        <v>30</v>
      </c>
      <c r="C70" s="1" t="s">
        <v>23</v>
      </c>
      <c r="D70" s="5">
        <v>0.56299999999999994</v>
      </c>
      <c r="E70">
        <v>0.06</v>
      </c>
      <c r="F70" s="5">
        <f t="shared" si="2"/>
        <v>0.50299999999999989</v>
      </c>
      <c r="G70">
        <v>5</v>
      </c>
      <c r="H70">
        <f t="shared" si="3"/>
        <v>100.59999999999998</v>
      </c>
    </row>
    <row r="71" spans="1:8">
      <c r="A71" s="1" t="s">
        <v>35</v>
      </c>
      <c r="B71" s="1" t="s">
        <v>30</v>
      </c>
      <c r="C71" s="1" t="s">
        <v>25</v>
      </c>
      <c r="D71" s="5">
        <v>0.7147</v>
      </c>
      <c r="E71">
        <v>8.5000000000000006E-2</v>
      </c>
      <c r="F71" s="5">
        <f t="shared" si="2"/>
        <v>0.62970000000000004</v>
      </c>
      <c r="G71">
        <v>5</v>
      </c>
      <c r="H71">
        <f t="shared" si="3"/>
        <v>125.94000000000001</v>
      </c>
    </row>
    <row r="72" spans="1:8">
      <c r="A72" s="1" t="s">
        <v>35</v>
      </c>
      <c r="B72" s="1" t="s">
        <v>30</v>
      </c>
      <c r="C72" s="1" t="s">
        <v>26</v>
      </c>
      <c r="D72" s="5">
        <v>0.61339999999999995</v>
      </c>
      <c r="E72">
        <v>6.5000000000000002E-2</v>
      </c>
      <c r="F72" s="5">
        <f t="shared" si="2"/>
        <v>0.5484</v>
      </c>
      <c r="G72">
        <v>5</v>
      </c>
      <c r="H72">
        <f t="shared" si="3"/>
        <v>109.67999999999999</v>
      </c>
    </row>
    <row r="73" spans="1:8">
      <c r="A73" s="1" t="s">
        <v>35</v>
      </c>
      <c r="B73" s="1" t="s">
        <v>30</v>
      </c>
      <c r="C73" s="1" t="s">
        <v>27</v>
      </c>
      <c r="D73" s="5">
        <v>0.72289999999999999</v>
      </c>
      <c r="E73">
        <v>0.104</v>
      </c>
      <c r="F73" s="5">
        <f t="shared" si="2"/>
        <v>0.61890000000000001</v>
      </c>
      <c r="G73">
        <v>5</v>
      </c>
      <c r="H73">
        <f t="shared" si="3"/>
        <v>123.78</v>
      </c>
    </row>
    <row r="74" spans="1:8">
      <c r="A74" s="1" t="s">
        <v>35</v>
      </c>
      <c r="B74" s="1" t="s">
        <v>31</v>
      </c>
      <c r="C74" s="1" t="s">
        <v>5</v>
      </c>
      <c r="D74" s="5">
        <v>0.2162</v>
      </c>
      <c r="E74">
        <v>6.4000000000000001E-2</v>
      </c>
      <c r="F74" s="5">
        <f t="shared" si="2"/>
        <v>0.1522</v>
      </c>
      <c r="G74">
        <v>1</v>
      </c>
      <c r="H74">
        <f t="shared" si="3"/>
        <v>152.19999999999999</v>
      </c>
    </row>
    <row r="75" spans="1:8">
      <c r="A75" s="1" t="s">
        <v>35</v>
      </c>
      <c r="B75" s="1" t="s">
        <v>31</v>
      </c>
      <c r="C75" s="1" t="s">
        <v>6</v>
      </c>
      <c r="D75" s="5">
        <v>0.1176</v>
      </c>
      <c r="E75">
        <v>6.8000000000000005E-2</v>
      </c>
      <c r="F75" s="5">
        <f t="shared" si="2"/>
        <v>4.9599999999999991E-2</v>
      </c>
      <c r="G75">
        <v>1</v>
      </c>
      <c r="H75">
        <f t="shared" si="3"/>
        <v>49.599999999999994</v>
      </c>
    </row>
    <row r="76" spans="1:8">
      <c r="A76" s="1" t="s">
        <v>35</v>
      </c>
      <c r="B76" s="1" t="s">
        <v>31</v>
      </c>
      <c r="C76" s="1" t="s">
        <v>7</v>
      </c>
      <c r="D76" s="5">
        <v>0.2321</v>
      </c>
      <c r="E76">
        <v>7.3999999999999996E-2</v>
      </c>
      <c r="F76" s="5">
        <f t="shared" si="2"/>
        <v>0.15810000000000002</v>
      </c>
      <c r="G76">
        <v>1</v>
      </c>
      <c r="H76">
        <f t="shared" si="3"/>
        <v>158.10000000000002</v>
      </c>
    </row>
    <row r="77" spans="1:8">
      <c r="A77" s="1" t="s">
        <v>35</v>
      </c>
      <c r="B77" s="1" t="s">
        <v>31</v>
      </c>
      <c r="C77" s="1" t="s">
        <v>9</v>
      </c>
      <c r="D77" s="5">
        <v>0.1048</v>
      </c>
      <c r="E77">
        <v>0.06</v>
      </c>
      <c r="F77" s="5">
        <f t="shared" si="2"/>
        <v>4.4800000000000006E-2</v>
      </c>
      <c r="G77">
        <v>1</v>
      </c>
      <c r="H77">
        <f t="shared" si="3"/>
        <v>44.800000000000004</v>
      </c>
    </row>
    <row r="78" spans="1:8">
      <c r="A78" s="1" t="s">
        <v>35</v>
      </c>
      <c r="B78" s="1" t="s">
        <v>31</v>
      </c>
      <c r="C78" s="1" t="s">
        <v>10</v>
      </c>
      <c r="D78" s="5">
        <v>0.13039999999999999</v>
      </c>
      <c r="E78">
        <v>6.3E-2</v>
      </c>
      <c r="F78" s="5">
        <f t="shared" si="2"/>
        <v>6.7399999999999988E-2</v>
      </c>
      <c r="G78">
        <v>1</v>
      </c>
      <c r="H78">
        <f t="shared" si="3"/>
        <v>67.399999999999991</v>
      </c>
    </row>
    <row r="79" spans="1:8">
      <c r="A79" s="1" t="s">
        <v>35</v>
      </c>
      <c r="B79" s="1" t="s">
        <v>31</v>
      </c>
      <c r="C79" s="1" t="s">
        <v>11</v>
      </c>
      <c r="D79" s="5">
        <v>0.1205</v>
      </c>
      <c r="E79">
        <v>7.3999999999999996E-2</v>
      </c>
      <c r="F79" s="5">
        <f t="shared" si="2"/>
        <v>4.65E-2</v>
      </c>
      <c r="G79">
        <v>1</v>
      </c>
      <c r="H79">
        <f t="shared" si="3"/>
        <v>46.5</v>
      </c>
    </row>
    <row r="80" spans="1:8">
      <c r="A80" s="1" t="s">
        <v>35</v>
      </c>
      <c r="B80" s="1" t="s">
        <v>31</v>
      </c>
      <c r="C80" s="1" t="s">
        <v>13</v>
      </c>
      <c r="D80" s="5">
        <v>0.19700000000000001</v>
      </c>
      <c r="E80">
        <v>7.8E-2</v>
      </c>
      <c r="F80" s="5">
        <f t="shared" si="2"/>
        <v>0.11900000000000001</v>
      </c>
      <c r="G80">
        <v>1</v>
      </c>
      <c r="H80">
        <f t="shared" si="3"/>
        <v>119.00000000000001</v>
      </c>
    </row>
    <row r="81" spans="1:8">
      <c r="A81" s="1" t="s">
        <v>35</v>
      </c>
      <c r="B81" s="1" t="s">
        <v>31</v>
      </c>
      <c r="C81" s="1" t="s">
        <v>14</v>
      </c>
      <c r="D81" s="5">
        <v>0.36880000000000002</v>
      </c>
      <c r="E81">
        <v>0.123</v>
      </c>
      <c r="F81" s="5">
        <f t="shared" si="2"/>
        <v>0.24580000000000002</v>
      </c>
      <c r="G81">
        <v>1</v>
      </c>
      <c r="H81">
        <f t="shared" si="3"/>
        <v>245.8</v>
      </c>
    </row>
    <row r="82" spans="1:8">
      <c r="A82" s="1" t="s">
        <v>35</v>
      </c>
      <c r="B82" s="1" t="s">
        <v>31</v>
      </c>
      <c r="C82" s="1" t="s">
        <v>15</v>
      </c>
      <c r="D82" s="5">
        <v>0.31630000000000003</v>
      </c>
      <c r="E82">
        <v>6.9000000000000006E-2</v>
      </c>
      <c r="F82" s="5">
        <f t="shared" si="2"/>
        <v>0.24730000000000002</v>
      </c>
      <c r="G82">
        <v>1</v>
      </c>
      <c r="H82">
        <f t="shared" si="3"/>
        <v>247.3</v>
      </c>
    </row>
    <row r="83" spans="1:8">
      <c r="A83" s="1" t="s">
        <v>35</v>
      </c>
      <c r="B83" s="1" t="s">
        <v>31</v>
      </c>
      <c r="C83" s="1" t="s">
        <v>17</v>
      </c>
      <c r="D83" s="5">
        <v>0.121</v>
      </c>
      <c r="E83">
        <v>7.2999999999999995E-2</v>
      </c>
      <c r="F83" s="5">
        <f t="shared" si="2"/>
        <v>4.8000000000000001E-2</v>
      </c>
      <c r="G83">
        <v>1</v>
      </c>
      <c r="H83">
        <f t="shared" si="3"/>
        <v>48</v>
      </c>
    </row>
    <row r="84" spans="1:8">
      <c r="A84" s="1" t="s">
        <v>35</v>
      </c>
      <c r="B84" s="1" t="s">
        <v>31</v>
      </c>
      <c r="C84" s="1" t="s">
        <v>18</v>
      </c>
      <c r="D84" s="5">
        <v>0.18540000000000001</v>
      </c>
      <c r="E84">
        <v>9.9000000000000005E-2</v>
      </c>
      <c r="F84" s="5">
        <f t="shared" si="2"/>
        <v>8.6400000000000005E-2</v>
      </c>
      <c r="G84">
        <v>1</v>
      </c>
      <c r="H84">
        <f t="shared" si="3"/>
        <v>86.4</v>
      </c>
    </row>
    <row r="85" spans="1:8">
      <c r="A85" s="1" t="s">
        <v>35</v>
      </c>
      <c r="B85" s="1" t="s">
        <v>31</v>
      </c>
      <c r="C85" s="1" t="s">
        <v>19</v>
      </c>
      <c r="D85" s="5">
        <v>0.1236</v>
      </c>
      <c r="E85">
        <v>6.2E-2</v>
      </c>
      <c r="F85" s="5">
        <f t="shared" si="2"/>
        <v>6.1600000000000002E-2</v>
      </c>
      <c r="G85">
        <v>1</v>
      </c>
      <c r="H85">
        <f t="shared" si="3"/>
        <v>61.6</v>
      </c>
    </row>
    <row r="86" spans="1:8">
      <c r="A86" s="1" t="s">
        <v>35</v>
      </c>
      <c r="B86" s="1" t="s">
        <v>31</v>
      </c>
      <c r="C86" s="1" t="s">
        <v>21</v>
      </c>
      <c r="D86" s="5">
        <v>0.13619999999999999</v>
      </c>
      <c r="E86">
        <v>6.7000000000000004E-2</v>
      </c>
      <c r="F86" s="5">
        <f t="shared" si="2"/>
        <v>6.9199999999999984E-2</v>
      </c>
      <c r="G86">
        <v>1</v>
      </c>
      <c r="H86">
        <f t="shared" si="3"/>
        <v>69.199999999999989</v>
      </c>
    </row>
    <row r="87" spans="1:8">
      <c r="A87" s="1" t="s">
        <v>35</v>
      </c>
      <c r="B87" s="1" t="s">
        <v>31</v>
      </c>
      <c r="C87" s="1" t="s">
        <v>22</v>
      </c>
      <c r="D87" s="5">
        <v>0.17879999999999999</v>
      </c>
      <c r="E87">
        <v>7.3999999999999996E-2</v>
      </c>
      <c r="F87" s="5">
        <f t="shared" si="2"/>
        <v>0.10479999999999999</v>
      </c>
      <c r="G87">
        <v>1</v>
      </c>
      <c r="H87">
        <f t="shared" si="3"/>
        <v>104.8</v>
      </c>
    </row>
    <row r="88" spans="1:8">
      <c r="A88" s="1" t="s">
        <v>35</v>
      </c>
      <c r="B88" s="1" t="s">
        <v>31</v>
      </c>
      <c r="C88" s="1" t="s">
        <v>23</v>
      </c>
      <c r="D88" s="5">
        <v>0.11219999999999999</v>
      </c>
      <c r="E88">
        <v>6.7000000000000004E-2</v>
      </c>
      <c r="F88" s="5">
        <f t="shared" si="2"/>
        <v>4.519999999999999E-2</v>
      </c>
      <c r="G88">
        <v>1</v>
      </c>
      <c r="H88">
        <f t="shared" si="3"/>
        <v>45.199999999999989</v>
      </c>
    </row>
    <row r="89" spans="1:8">
      <c r="A89" s="1" t="s">
        <v>35</v>
      </c>
      <c r="B89" s="1" t="s">
        <v>31</v>
      </c>
      <c r="C89" s="1" t="s">
        <v>25</v>
      </c>
      <c r="D89" s="5">
        <v>0.3256</v>
      </c>
      <c r="E89">
        <v>7.6999999999999999E-2</v>
      </c>
      <c r="F89" s="5">
        <f t="shared" si="2"/>
        <v>0.24859999999999999</v>
      </c>
      <c r="G89">
        <v>1</v>
      </c>
      <c r="H89">
        <f t="shared" si="3"/>
        <v>248.6</v>
      </c>
    </row>
    <row r="90" spans="1:8">
      <c r="A90" s="1" t="s">
        <v>35</v>
      </c>
      <c r="B90" s="1" t="s">
        <v>31</v>
      </c>
      <c r="C90" s="1" t="s">
        <v>26</v>
      </c>
      <c r="D90" s="5">
        <v>9.1399999999999995E-2</v>
      </c>
      <c r="E90">
        <v>5.5E-2</v>
      </c>
      <c r="F90" s="5">
        <f t="shared" si="2"/>
        <v>3.6399999999999995E-2</v>
      </c>
      <c r="G90">
        <v>1</v>
      </c>
      <c r="H90">
        <f t="shared" si="3"/>
        <v>36.399999999999991</v>
      </c>
    </row>
    <row r="91" spans="1:8">
      <c r="A91" s="1" t="s">
        <v>35</v>
      </c>
      <c r="B91" s="1" t="s">
        <v>31</v>
      </c>
      <c r="C91" s="1" t="s">
        <v>27</v>
      </c>
      <c r="D91" s="5">
        <v>0.14419999999999999</v>
      </c>
      <c r="E91">
        <v>5.8000000000000003E-2</v>
      </c>
      <c r="F91" s="5">
        <f t="shared" si="2"/>
        <v>8.6199999999999999E-2</v>
      </c>
      <c r="G91">
        <v>1</v>
      </c>
      <c r="H91">
        <f t="shared" si="3"/>
        <v>86.2</v>
      </c>
    </row>
    <row r="92" spans="1:8">
      <c r="A92" s="1" t="s">
        <v>35</v>
      </c>
      <c r="B92" s="1" t="s">
        <v>32</v>
      </c>
      <c r="C92" s="2" t="s">
        <v>4</v>
      </c>
      <c r="D92" s="5">
        <v>0.58579999999999999</v>
      </c>
      <c r="E92">
        <v>6.7000000000000004E-2</v>
      </c>
      <c r="F92" s="5">
        <f t="shared" si="2"/>
        <v>0.51879999999999993</v>
      </c>
      <c r="G92">
        <v>5</v>
      </c>
      <c r="H92">
        <f t="shared" si="3"/>
        <v>103.75999999999999</v>
      </c>
    </row>
    <row r="93" spans="1:8">
      <c r="A93" s="1" t="s">
        <v>35</v>
      </c>
      <c r="B93" s="1" t="s">
        <v>32</v>
      </c>
      <c r="C93" s="2" t="s">
        <v>6</v>
      </c>
      <c r="D93" s="5">
        <v>0.6361</v>
      </c>
      <c r="E93">
        <v>6.7000000000000004E-2</v>
      </c>
      <c r="F93" s="5">
        <f t="shared" si="2"/>
        <v>0.56909999999999994</v>
      </c>
      <c r="G93">
        <v>5</v>
      </c>
      <c r="H93">
        <f t="shared" si="3"/>
        <v>113.81999999999998</v>
      </c>
    </row>
    <row r="94" spans="1:8">
      <c r="A94" s="1" t="s">
        <v>35</v>
      </c>
      <c r="B94" s="1" t="s">
        <v>32</v>
      </c>
      <c r="C94" s="2" t="s">
        <v>7</v>
      </c>
      <c r="D94" s="5">
        <v>0.53380000000000005</v>
      </c>
      <c r="E94">
        <v>7.5999999999999998E-2</v>
      </c>
      <c r="F94" s="5">
        <f t="shared" si="2"/>
        <v>0.45780000000000004</v>
      </c>
      <c r="G94">
        <v>5</v>
      </c>
      <c r="H94">
        <f t="shared" si="3"/>
        <v>91.560000000000016</v>
      </c>
    </row>
    <row r="95" spans="1:8">
      <c r="A95" s="1" t="s">
        <v>35</v>
      </c>
      <c r="B95" s="1" t="s">
        <v>32</v>
      </c>
      <c r="C95" s="2" t="s">
        <v>8</v>
      </c>
      <c r="D95" s="5">
        <v>0.57079999999999997</v>
      </c>
      <c r="E95">
        <v>0.06</v>
      </c>
      <c r="F95" s="5">
        <f t="shared" si="2"/>
        <v>0.51079999999999992</v>
      </c>
      <c r="G95">
        <v>5</v>
      </c>
      <c r="H95">
        <f t="shared" si="3"/>
        <v>102.15999999999998</v>
      </c>
    </row>
    <row r="96" spans="1:8">
      <c r="A96" s="1" t="s">
        <v>35</v>
      </c>
      <c r="B96" s="1" t="s">
        <v>32</v>
      </c>
      <c r="C96" s="2" t="s">
        <v>10</v>
      </c>
      <c r="D96" s="5">
        <v>0.753</v>
      </c>
      <c r="E96">
        <v>6.9000000000000006E-2</v>
      </c>
      <c r="F96" s="5">
        <f t="shared" si="2"/>
        <v>0.68399999999999994</v>
      </c>
      <c r="G96">
        <v>5</v>
      </c>
      <c r="H96">
        <f t="shared" si="3"/>
        <v>136.79999999999998</v>
      </c>
    </row>
    <row r="97" spans="1:8">
      <c r="A97" s="1" t="s">
        <v>35</v>
      </c>
      <c r="B97" s="1" t="s">
        <v>32</v>
      </c>
      <c r="C97" s="2" t="s">
        <v>11</v>
      </c>
      <c r="D97" s="5">
        <v>0.59460000000000002</v>
      </c>
      <c r="E97">
        <v>6.6000000000000003E-2</v>
      </c>
      <c r="F97" s="5">
        <f t="shared" si="2"/>
        <v>0.52859999999999996</v>
      </c>
      <c r="G97">
        <v>5</v>
      </c>
      <c r="H97">
        <f t="shared" si="3"/>
        <v>105.71999999999998</v>
      </c>
    </row>
    <row r="98" spans="1:8">
      <c r="A98" s="1" t="s">
        <v>35</v>
      </c>
      <c r="B98" s="1" t="s">
        <v>32</v>
      </c>
      <c r="C98" s="2" t="s">
        <v>12</v>
      </c>
      <c r="D98" s="5">
        <v>0.69059999999999999</v>
      </c>
      <c r="E98">
        <v>7.2999999999999995E-2</v>
      </c>
      <c r="F98" s="5">
        <f t="shared" si="2"/>
        <v>0.61760000000000004</v>
      </c>
      <c r="G98">
        <v>5</v>
      </c>
      <c r="H98">
        <f t="shared" si="3"/>
        <v>123.52000000000001</v>
      </c>
    </row>
    <row r="99" spans="1:8">
      <c r="A99" s="1" t="s">
        <v>35</v>
      </c>
      <c r="B99" s="1" t="s">
        <v>32</v>
      </c>
      <c r="C99" s="2" t="s">
        <v>14</v>
      </c>
      <c r="D99" s="5">
        <v>0.58130000000000004</v>
      </c>
      <c r="E99">
        <v>6.5000000000000002E-2</v>
      </c>
      <c r="F99" s="5">
        <f t="shared" si="2"/>
        <v>0.51629999999999998</v>
      </c>
      <c r="G99">
        <v>5</v>
      </c>
      <c r="H99">
        <f t="shared" si="3"/>
        <v>103.25999999999999</v>
      </c>
    </row>
    <row r="100" spans="1:8">
      <c r="A100" s="1" t="s">
        <v>35</v>
      </c>
      <c r="B100" s="1" t="s">
        <v>32</v>
      </c>
      <c r="C100" s="2" t="s">
        <v>15</v>
      </c>
      <c r="D100" s="5">
        <v>0.57030000000000003</v>
      </c>
      <c r="E100">
        <v>5.8999999999999997E-2</v>
      </c>
      <c r="F100" s="5">
        <f t="shared" si="2"/>
        <v>0.51130000000000009</v>
      </c>
      <c r="G100">
        <v>5</v>
      </c>
      <c r="H100">
        <f t="shared" si="3"/>
        <v>102.26000000000002</v>
      </c>
    </row>
    <row r="101" spans="1:8">
      <c r="A101" s="1" t="s">
        <v>35</v>
      </c>
      <c r="B101" s="1" t="s">
        <v>32</v>
      </c>
      <c r="C101" s="2" t="s">
        <v>16</v>
      </c>
      <c r="D101" s="5">
        <v>0.57699999999999996</v>
      </c>
      <c r="E101">
        <v>7.3999999999999996E-2</v>
      </c>
      <c r="F101" s="5">
        <f t="shared" si="2"/>
        <v>0.503</v>
      </c>
      <c r="G101">
        <v>5</v>
      </c>
      <c r="H101">
        <f t="shared" si="3"/>
        <v>100.6</v>
      </c>
    </row>
    <row r="102" spans="1:8">
      <c r="A102" s="1" t="s">
        <v>35</v>
      </c>
      <c r="B102" s="1" t="s">
        <v>32</v>
      </c>
      <c r="C102" s="2" t="s">
        <v>18</v>
      </c>
      <c r="D102" s="5">
        <v>0.51429999999999998</v>
      </c>
      <c r="E102">
        <v>5.6000000000000001E-2</v>
      </c>
      <c r="F102" s="5">
        <f t="shared" si="2"/>
        <v>0.45829999999999999</v>
      </c>
      <c r="G102">
        <v>5</v>
      </c>
      <c r="H102">
        <f t="shared" si="3"/>
        <v>91.66</v>
      </c>
    </row>
    <row r="103" spans="1:8">
      <c r="A103" s="1" t="s">
        <v>35</v>
      </c>
      <c r="B103" s="1" t="s">
        <v>32</v>
      </c>
      <c r="C103" s="2" t="s">
        <v>19</v>
      </c>
      <c r="D103" s="5">
        <v>0.61299999999999999</v>
      </c>
      <c r="E103">
        <v>6.6000000000000003E-2</v>
      </c>
      <c r="F103" s="5">
        <f t="shared" si="2"/>
        <v>0.54699999999999993</v>
      </c>
      <c r="G103">
        <v>5</v>
      </c>
      <c r="H103">
        <f t="shared" si="3"/>
        <v>109.39999999999998</v>
      </c>
    </row>
    <row r="104" spans="1:8">
      <c r="A104" s="1" t="s">
        <v>35</v>
      </c>
      <c r="B104" s="1" t="s">
        <v>32</v>
      </c>
      <c r="C104" s="2" t="s">
        <v>20</v>
      </c>
      <c r="D104" s="5">
        <v>0.73629999999999995</v>
      </c>
      <c r="E104">
        <v>7.2999999999999995E-2</v>
      </c>
      <c r="F104" s="5">
        <f t="shared" si="2"/>
        <v>0.6633</v>
      </c>
      <c r="G104">
        <v>5</v>
      </c>
      <c r="H104">
        <f t="shared" si="3"/>
        <v>132.66</v>
      </c>
    </row>
    <row r="105" spans="1:8">
      <c r="A105" s="1" t="s">
        <v>35</v>
      </c>
      <c r="B105" s="1" t="s">
        <v>32</v>
      </c>
      <c r="C105" s="2" t="s">
        <v>22</v>
      </c>
      <c r="D105" s="5">
        <v>0.48220000000000002</v>
      </c>
      <c r="E105">
        <v>6.2E-2</v>
      </c>
      <c r="F105" s="5">
        <f t="shared" si="2"/>
        <v>0.42020000000000002</v>
      </c>
      <c r="G105">
        <v>5</v>
      </c>
      <c r="H105">
        <f t="shared" si="3"/>
        <v>84.04</v>
      </c>
    </row>
    <row r="106" spans="1:8">
      <c r="A106" s="1" t="s">
        <v>35</v>
      </c>
      <c r="B106" s="1" t="s">
        <v>32</v>
      </c>
      <c r="C106" s="2" t="s">
        <v>23</v>
      </c>
      <c r="D106" s="5">
        <v>0.67810000000000004</v>
      </c>
      <c r="E106">
        <v>6.9000000000000006E-2</v>
      </c>
      <c r="F106" s="5">
        <f t="shared" si="2"/>
        <v>0.60909999999999997</v>
      </c>
      <c r="G106">
        <v>5</v>
      </c>
      <c r="H106">
        <f t="shared" si="3"/>
        <v>121.82000000000001</v>
      </c>
    </row>
    <row r="107" spans="1:8">
      <c r="A107" s="1" t="s">
        <v>35</v>
      </c>
      <c r="B107" s="1" t="s">
        <v>32</v>
      </c>
      <c r="C107" s="2" t="s">
        <v>24</v>
      </c>
      <c r="D107" s="5">
        <v>0.86339999999999995</v>
      </c>
      <c r="E107">
        <v>8.7999999999999995E-2</v>
      </c>
      <c r="F107" s="5">
        <f t="shared" si="2"/>
        <v>0.77539999999999998</v>
      </c>
      <c r="G107">
        <v>5</v>
      </c>
      <c r="H107">
        <f t="shared" si="3"/>
        <v>155.07999999999998</v>
      </c>
    </row>
    <row r="108" spans="1:8">
      <c r="A108" s="1" t="s">
        <v>35</v>
      </c>
      <c r="B108" s="1" t="s">
        <v>32</v>
      </c>
      <c r="C108" s="2" t="s">
        <v>26</v>
      </c>
      <c r="D108" s="5">
        <v>0.68440000000000001</v>
      </c>
      <c r="E108">
        <v>8.3000000000000004E-2</v>
      </c>
      <c r="F108" s="5">
        <f t="shared" si="2"/>
        <v>0.60140000000000005</v>
      </c>
      <c r="G108">
        <v>5</v>
      </c>
      <c r="H108">
        <f t="shared" si="3"/>
        <v>120.28000000000002</v>
      </c>
    </row>
    <row r="109" spans="1:8">
      <c r="A109" s="1" t="s">
        <v>35</v>
      </c>
      <c r="B109" s="1" t="s">
        <v>32</v>
      </c>
      <c r="C109" s="2" t="s">
        <v>27</v>
      </c>
      <c r="D109" s="5">
        <v>0.5554</v>
      </c>
      <c r="E109">
        <v>5.8999999999999997E-2</v>
      </c>
      <c r="F109" s="5">
        <f t="shared" si="2"/>
        <v>0.49640000000000001</v>
      </c>
      <c r="G109">
        <v>5</v>
      </c>
      <c r="H109">
        <f t="shared" si="3"/>
        <v>99.28</v>
      </c>
    </row>
    <row r="110" spans="1:8">
      <c r="A110" s="1" t="s">
        <v>35</v>
      </c>
      <c r="B110" s="1" t="s">
        <v>33</v>
      </c>
      <c r="C110" s="2" t="s">
        <v>4</v>
      </c>
      <c r="D110" s="5">
        <v>9.64E-2</v>
      </c>
      <c r="E110">
        <v>6.3E-2</v>
      </c>
      <c r="F110" s="5">
        <f t="shared" si="2"/>
        <v>3.3399999999999999E-2</v>
      </c>
      <c r="G110">
        <v>1</v>
      </c>
      <c r="H110">
        <f t="shared" si="3"/>
        <v>33.4</v>
      </c>
    </row>
    <row r="111" spans="1:8">
      <c r="A111" s="1" t="s">
        <v>35</v>
      </c>
      <c r="B111" s="1" t="s">
        <v>33</v>
      </c>
      <c r="C111" s="2" t="s">
        <v>6</v>
      </c>
      <c r="D111" s="5">
        <v>0.1208</v>
      </c>
      <c r="E111">
        <v>7.5999999999999998E-2</v>
      </c>
      <c r="F111" s="5">
        <f t="shared" si="2"/>
        <v>4.4800000000000006E-2</v>
      </c>
      <c r="G111">
        <v>1</v>
      </c>
      <c r="H111">
        <f t="shared" si="3"/>
        <v>44.800000000000004</v>
      </c>
    </row>
    <row r="112" spans="1:8">
      <c r="A112" s="1" t="s">
        <v>35</v>
      </c>
      <c r="B112" s="1" t="s">
        <v>33</v>
      </c>
      <c r="C112" s="2" t="s">
        <v>7</v>
      </c>
      <c r="D112" s="5">
        <v>0.1242</v>
      </c>
      <c r="E112">
        <v>7.3999999999999996E-2</v>
      </c>
      <c r="F112" s="5">
        <f t="shared" si="2"/>
        <v>5.0200000000000009E-2</v>
      </c>
      <c r="G112">
        <v>1</v>
      </c>
      <c r="H112">
        <f t="shared" si="3"/>
        <v>50.20000000000001</v>
      </c>
    </row>
    <row r="113" spans="1:8">
      <c r="A113" s="1" t="s">
        <v>35</v>
      </c>
      <c r="B113" s="1" t="s">
        <v>33</v>
      </c>
      <c r="C113" s="2" t="s">
        <v>8</v>
      </c>
      <c r="D113" s="5">
        <v>7.9500000000000001E-2</v>
      </c>
      <c r="E113">
        <v>6.3E-2</v>
      </c>
      <c r="F113" s="5">
        <f t="shared" si="2"/>
        <v>1.6500000000000001E-2</v>
      </c>
      <c r="G113">
        <v>1</v>
      </c>
      <c r="H113">
        <f t="shared" si="3"/>
        <v>16.5</v>
      </c>
    </row>
    <row r="114" spans="1:8">
      <c r="A114" s="1" t="s">
        <v>35</v>
      </c>
      <c r="B114" s="1" t="s">
        <v>33</v>
      </c>
      <c r="C114" s="2" t="s">
        <v>10</v>
      </c>
      <c r="D114" s="5">
        <v>0.13220000000000001</v>
      </c>
      <c r="E114">
        <v>6.0999999999999999E-2</v>
      </c>
      <c r="F114" s="5">
        <f t="shared" si="2"/>
        <v>7.1200000000000013E-2</v>
      </c>
      <c r="G114">
        <v>1</v>
      </c>
      <c r="H114">
        <f t="shared" si="3"/>
        <v>71.200000000000017</v>
      </c>
    </row>
    <row r="115" spans="1:8">
      <c r="A115" s="1" t="s">
        <v>35</v>
      </c>
      <c r="B115" s="1" t="s">
        <v>33</v>
      </c>
      <c r="C115" s="2" t="s">
        <v>11</v>
      </c>
      <c r="D115" s="5">
        <v>9.2700000000000005E-2</v>
      </c>
      <c r="E115">
        <v>5.7000000000000002E-2</v>
      </c>
      <c r="F115" s="5">
        <f t="shared" si="2"/>
        <v>3.5700000000000003E-2</v>
      </c>
      <c r="G115">
        <v>1</v>
      </c>
      <c r="H115">
        <f t="shared" si="3"/>
        <v>35.700000000000003</v>
      </c>
    </row>
    <row r="116" spans="1:8">
      <c r="A116" s="1" t="s">
        <v>35</v>
      </c>
      <c r="B116" s="1" t="s">
        <v>33</v>
      </c>
      <c r="C116" s="2" t="s">
        <v>12</v>
      </c>
      <c r="D116" s="5">
        <v>0.22209999999999999</v>
      </c>
      <c r="E116">
        <v>7.6999999999999999E-2</v>
      </c>
      <c r="F116" s="5">
        <f t="shared" si="2"/>
        <v>0.14510000000000001</v>
      </c>
      <c r="G116">
        <v>1</v>
      </c>
      <c r="H116">
        <f t="shared" si="3"/>
        <v>145.1</v>
      </c>
    </row>
    <row r="117" spans="1:8">
      <c r="A117" s="1" t="s">
        <v>35</v>
      </c>
      <c r="B117" s="1" t="s">
        <v>33</v>
      </c>
      <c r="C117" s="2" t="s">
        <v>14</v>
      </c>
      <c r="D117" s="5">
        <v>6.2300000000000001E-2</v>
      </c>
      <c r="E117">
        <v>5.6000000000000001E-2</v>
      </c>
      <c r="F117" s="5">
        <f t="shared" si="2"/>
        <v>6.3E-3</v>
      </c>
      <c r="G117">
        <v>1</v>
      </c>
      <c r="H117">
        <f t="shared" si="3"/>
        <v>6.3</v>
      </c>
    </row>
    <row r="118" spans="1:8">
      <c r="A118" s="1" t="s">
        <v>35</v>
      </c>
      <c r="B118" s="1" t="s">
        <v>33</v>
      </c>
      <c r="C118" s="2" t="s">
        <v>15</v>
      </c>
      <c r="D118" s="5">
        <v>0.14249999999999999</v>
      </c>
      <c r="E118">
        <v>6.2E-2</v>
      </c>
      <c r="F118" s="5">
        <f t="shared" si="2"/>
        <v>8.0499999999999988E-2</v>
      </c>
      <c r="G118">
        <v>1</v>
      </c>
      <c r="H118">
        <f t="shared" si="3"/>
        <v>80.499999999999986</v>
      </c>
    </row>
    <row r="119" spans="1:8">
      <c r="A119" s="1" t="s">
        <v>35</v>
      </c>
      <c r="B119" s="1" t="s">
        <v>33</v>
      </c>
      <c r="C119" s="2" t="s">
        <v>16</v>
      </c>
      <c r="D119" s="5">
        <v>7.8899999999999998E-2</v>
      </c>
      <c r="E119">
        <v>7.6999999999999999E-2</v>
      </c>
      <c r="F119" s="5">
        <f t="shared" si="2"/>
        <v>1.8999999999999989E-3</v>
      </c>
      <c r="G119">
        <v>1</v>
      </c>
      <c r="H119">
        <f t="shared" si="3"/>
        <v>1.899999999999999</v>
      </c>
    </row>
    <row r="120" spans="1:8">
      <c r="A120" s="1" t="s">
        <v>35</v>
      </c>
      <c r="B120" s="1" t="s">
        <v>33</v>
      </c>
      <c r="C120" s="2" t="s">
        <v>18</v>
      </c>
      <c r="D120" s="5">
        <v>6.2E-2</v>
      </c>
      <c r="E120">
        <v>6.0999999999999999E-2</v>
      </c>
      <c r="F120" s="5">
        <f t="shared" si="2"/>
        <v>1.0000000000000009E-3</v>
      </c>
      <c r="G120">
        <v>1</v>
      </c>
      <c r="H120">
        <f t="shared" si="3"/>
        <v>1.0000000000000009</v>
      </c>
    </row>
    <row r="121" spans="1:8">
      <c r="A121" s="1" t="s">
        <v>35</v>
      </c>
      <c r="B121" s="1" t="s">
        <v>33</v>
      </c>
      <c r="C121" s="2" t="s">
        <v>19</v>
      </c>
      <c r="D121" s="5">
        <v>6.54E-2</v>
      </c>
      <c r="E121">
        <v>5.3999999999999999E-2</v>
      </c>
      <c r="F121" s="5">
        <f t="shared" si="2"/>
        <v>1.14E-2</v>
      </c>
      <c r="G121">
        <v>1</v>
      </c>
      <c r="H121">
        <f t="shared" si="3"/>
        <v>11.4</v>
      </c>
    </row>
    <row r="122" spans="1:8">
      <c r="A122" s="1" t="s">
        <v>35</v>
      </c>
      <c r="B122" s="1" t="s">
        <v>33</v>
      </c>
      <c r="C122" s="2" t="s">
        <v>20</v>
      </c>
      <c r="D122" s="5">
        <v>0.1197</v>
      </c>
      <c r="E122">
        <v>7.1999999999999995E-2</v>
      </c>
      <c r="F122" s="5">
        <f t="shared" si="2"/>
        <v>4.7700000000000006E-2</v>
      </c>
      <c r="G122">
        <v>1</v>
      </c>
      <c r="H122">
        <f t="shared" si="3"/>
        <v>47.7</v>
      </c>
    </row>
    <row r="123" spans="1:8">
      <c r="A123" s="1" t="s">
        <v>35</v>
      </c>
      <c r="B123" s="1" t="s">
        <v>33</v>
      </c>
      <c r="C123" s="2" t="s">
        <v>22</v>
      </c>
      <c r="D123" s="5">
        <v>0.27050000000000002</v>
      </c>
      <c r="E123">
        <v>0.112</v>
      </c>
      <c r="F123" s="5">
        <f t="shared" si="2"/>
        <v>0.15850000000000003</v>
      </c>
      <c r="G123">
        <v>1</v>
      </c>
      <c r="H123">
        <f t="shared" si="3"/>
        <v>158.50000000000003</v>
      </c>
    </row>
    <row r="124" spans="1:8">
      <c r="A124" s="1" t="s">
        <v>35</v>
      </c>
      <c r="B124" s="1" t="s">
        <v>33</v>
      </c>
      <c r="C124" s="2" t="s">
        <v>23</v>
      </c>
      <c r="D124" s="5">
        <v>6.6900000000000001E-2</v>
      </c>
      <c r="E124">
        <v>6.0999999999999999E-2</v>
      </c>
      <c r="F124" s="5">
        <f t="shared" si="2"/>
        <v>5.9000000000000025E-3</v>
      </c>
      <c r="G124">
        <v>1</v>
      </c>
      <c r="H124">
        <f t="shared" si="3"/>
        <v>5.9000000000000021</v>
      </c>
    </row>
    <row r="125" spans="1:8">
      <c r="A125" s="1" t="s">
        <v>35</v>
      </c>
      <c r="B125" s="1" t="s">
        <v>33</v>
      </c>
      <c r="C125" s="2" t="s">
        <v>24</v>
      </c>
      <c r="D125" s="5">
        <v>9.0399999999999994E-2</v>
      </c>
      <c r="E125">
        <v>5.7000000000000002E-2</v>
      </c>
      <c r="F125" s="5">
        <f t="shared" si="2"/>
        <v>3.3399999999999992E-2</v>
      </c>
      <c r="G125">
        <v>1</v>
      </c>
      <c r="H125">
        <f t="shared" si="3"/>
        <v>33.399999999999991</v>
      </c>
    </row>
    <row r="126" spans="1:8">
      <c r="A126" s="1" t="s">
        <v>35</v>
      </c>
      <c r="B126" s="1" t="s">
        <v>33</v>
      </c>
      <c r="C126" s="2" t="s">
        <v>26</v>
      </c>
      <c r="D126" s="5">
        <v>8.7300000000000003E-2</v>
      </c>
      <c r="E126">
        <v>0.06</v>
      </c>
      <c r="F126" s="5">
        <f t="shared" si="2"/>
        <v>2.7300000000000005E-2</v>
      </c>
      <c r="G126">
        <v>1</v>
      </c>
      <c r="H126">
        <f t="shared" si="3"/>
        <v>27.300000000000004</v>
      </c>
    </row>
    <row r="127" spans="1:8">
      <c r="A127" s="1" t="s">
        <v>35</v>
      </c>
      <c r="B127" s="1" t="s">
        <v>33</v>
      </c>
      <c r="C127" s="2" t="s">
        <v>27</v>
      </c>
      <c r="D127" s="5">
        <v>7.1499999999999994E-2</v>
      </c>
      <c r="E127">
        <v>0.06</v>
      </c>
      <c r="F127" s="5">
        <f t="shared" si="2"/>
        <v>1.1499999999999996E-2</v>
      </c>
      <c r="G127">
        <v>1</v>
      </c>
      <c r="H127">
        <f t="shared" si="3"/>
        <v>11.499999999999996</v>
      </c>
    </row>
    <row r="128" spans="1:8">
      <c r="A128" s="1" t="s">
        <v>35</v>
      </c>
      <c r="B128" s="1" t="s">
        <v>34</v>
      </c>
      <c r="C128" s="2" t="s">
        <v>4</v>
      </c>
      <c r="D128" s="5">
        <v>9.6799999999999997E-2</v>
      </c>
      <c r="E128">
        <v>6.6000000000000003E-2</v>
      </c>
      <c r="F128" s="5">
        <f t="shared" si="2"/>
        <v>3.0799999999999994E-2</v>
      </c>
      <c r="G128">
        <v>1</v>
      </c>
      <c r="H128">
        <f t="shared" si="3"/>
        <v>30.799999999999994</v>
      </c>
    </row>
    <row r="129" spans="1:8">
      <c r="A129" s="1" t="s">
        <v>35</v>
      </c>
      <c r="B129" s="1" t="s">
        <v>34</v>
      </c>
      <c r="C129" s="2" t="s">
        <v>6</v>
      </c>
      <c r="D129" s="5">
        <v>0.1258</v>
      </c>
      <c r="E129">
        <v>7.6999999999999999E-2</v>
      </c>
      <c r="F129" s="5">
        <f t="shared" si="2"/>
        <v>4.8799999999999996E-2</v>
      </c>
      <c r="G129">
        <v>1</v>
      </c>
      <c r="H129">
        <f t="shared" si="3"/>
        <v>48.8</v>
      </c>
    </row>
    <row r="130" spans="1:8">
      <c r="A130" s="1" t="s">
        <v>35</v>
      </c>
      <c r="B130" s="1" t="s">
        <v>34</v>
      </c>
      <c r="C130" s="2" t="s">
        <v>7</v>
      </c>
      <c r="D130" s="5">
        <v>8.5599999999999996E-2</v>
      </c>
      <c r="E130">
        <v>6.7000000000000004E-2</v>
      </c>
      <c r="F130" s="5">
        <f t="shared" si="2"/>
        <v>1.8599999999999992E-2</v>
      </c>
      <c r="G130">
        <v>1</v>
      </c>
      <c r="H130">
        <f t="shared" si="3"/>
        <v>18.599999999999991</v>
      </c>
    </row>
    <row r="131" spans="1:8">
      <c r="A131" s="1" t="s">
        <v>35</v>
      </c>
      <c r="B131" s="1" t="s">
        <v>34</v>
      </c>
      <c r="C131" s="2" t="s">
        <v>8</v>
      </c>
      <c r="D131" s="5">
        <v>7.1400000000000005E-2</v>
      </c>
      <c r="E131">
        <v>6.4000000000000001E-2</v>
      </c>
      <c r="F131" s="5">
        <f t="shared" ref="F131:F194" si="4">D131-E131</f>
        <v>7.4000000000000038E-3</v>
      </c>
      <c r="G131">
        <v>1</v>
      </c>
      <c r="H131">
        <f t="shared" ref="H131:H177" si="5">1000*F131/G131</f>
        <v>7.4000000000000039</v>
      </c>
    </row>
    <row r="132" spans="1:8">
      <c r="A132" s="1" t="s">
        <v>35</v>
      </c>
      <c r="B132" s="1" t="s">
        <v>34</v>
      </c>
      <c r="C132" s="2" t="s">
        <v>10</v>
      </c>
      <c r="D132" s="5">
        <v>5.8900000000000001E-2</v>
      </c>
      <c r="E132">
        <v>5.8000000000000003E-2</v>
      </c>
      <c r="F132" s="5">
        <f t="shared" si="4"/>
        <v>8.9999999999999802E-4</v>
      </c>
      <c r="G132">
        <v>1</v>
      </c>
      <c r="H132">
        <f t="shared" si="5"/>
        <v>0.89999999999999802</v>
      </c>
    </row>
    <row r="133" spans="1:8">
      <c r="A133" s="1" t="s">
        <v>35</v>
      </c>
      <c r="B133" s="1" t="s">
        <v>34</v>
      </c>
      <c r="C133" s="2" t="s">
        <v>11</v>
      </c>
      <c r="D133" s="5">
        <v>0.17480000000000001</v>
      </c>
      <c r="E133">
        <v>6.0999999999999999E-2</v>
      </c>
      <c r="F133" s="5">
        <f t="shared" si="4"/>
        <v>0.11380000000000001</v>
      </c>
      <c r="G133">
        <v>1</v>
      </c>
      <c r="H133">
        <f t="shared" si="5"/>
        <v>113.80000000000001</v>
      </c>
    </row>
    <row r="134" spans="1:8">
      <c r="A134" s="1" t="s">
        <v>35</v>
      </c>
      <c r="B134" s="1" t="s">
        <v>34</v>
      </c>
      <c r="C134" s="2" t="s">
        <v>12</v>
      </c>
      <c r="D134" s="5">
        <v>8.9700000000000002E-2</v>
      </c>
      <c r="E134">
        <v>6.2E-2</v>
      </c>
      <c r="F134" s="5">
        <f t="shared" si="4"/>
        <v>2.7700000000000002E-2</v>
      </c>
      <c r="G134">
        <v>1</v>
      </c>
      <c r="H134">
        <f t="shared" si="5"/>
        <v>27.700000000000003</v>
      </c>
    </row>
    <row r="135" spans="1:8">
      <c r="A135" s="1" t="s">
        <v>35</v>
      </c>
      <c r="B135" s="1" t="s">
        <v>34</v>
      </c>
      <c r="C135" s="2" t="s">
        <v>14</v>
      </c>
      <c r="D135" s="5">
        <v>8.9200000000000002E-2</v>
      </c>
      <c r="E135">
        <v>0.06</v>
      </c>
      <c r="F135" s="5">
        <f t="shared" si="4"/>
        <v>2.9200000000000004E-2</v>
      </c>
      <c r="G135">
        <v>1</v>
      </c>
      <c r="H135">
        <f t="shared" si="5"/>
        <v>29.200000000000003</v>
      </c>
    </row>
    <row r="136" spans="1:8">
      <c r="A136" s="1" t="s">
        <v>35</v>
      </c>
      <c r="B136" s="1" t="s">
        <v>34</v>
      </c>
      <c r="C136" s="2" t="s">
        <v>15</v>
      </c>
      <c r="D136" s="5">
        <v>0.14560000000000001</v>
      </c>
      <c r="E136">
        <v>7.1999999999999995E-2</v>
      </c>
      <c r="F136" s="5">
        <f t="shared" si="4"/>
        <v>7.3600000000000013E-2</v>
      </c>
      <c r="G136">
        <v>1</v>
      </c>
      <c r="H136">
        <f t="shared" si="5"/>
        <v>73.600000000000009</v>
      </c>
    </row>
    <row r="137" spans="1:8">
      <c r="A137" s="1" t="s">
        <v>35</v>
      </c>
      <c r="B137" s="1" t="s">
        <v>34</v>
      </c>
      <c r="C137" s="2" t="s">
        <v>16</v>
      </c>
      <c r="D137" s="5">
        <v>0.15870000000000001</v>
      </c>
      <c r="E137">
        <v>6.4000000000000001E-2</v>
      </c>
      <c r="F137" s="5">
        <f t="shared" si="4"/>
        <v>9.4700000000000006E-2</v>
      </c>
      <c r="G137">
        <v>1</v>
      </c>
      <c r="H137">
        <f t="shared" si="5"/>
        <v>94.7</v>
      </c>
    </row>
    <row r="138" spans="1:8">
      <c r="A138" s="1" t="s">
        <v>35</v>
      </c>
      <c r="B138" s="1" t="s">
        <v>34</v>
      </c>
      <c r="C138" s="2" t="s">
        <v>18</v>
      </c>
      <c r="D138" s="5">
        <v>8.6999999999999994E-2</v>
      </c>
      <c r="E138">
        <v>6.6000000000000003E-2</v>
      </c>
      <c r="F138" s="5">
        <f t="shared" si="4"/>
        <v>2.0999999999999991E-2</v>
      </c>
      <c r="G138">
        <v>1</v>
      </c>
      <c r="H138">
        <f t="shared" si="5"/>
        <v>20.999999999999989</v>
      </c>
    </row>
    <row r="139" spans="1:8">
      <c r="A139" s="1" t="s">
        <v>35</v>
      </c>
      <c r="B139" s="1" t="s">
        <v>34</v>
      </c>
      <c r="C139" s="2" t="s">
        <v>19</v>
      </c>
      <c r="D139" s="5">
        <v>0.1188</v>
      </c>
      <c r="E139">
        <v>7.0999999999999994E-2</v>
      </c>
      <c r="F139" s="5">
        <f t="shared" si="4"/>
        <v>4.7800000000000009E-2</v>
      </c>
      <c r="G139">
        <v>1</v>
      </c>
      <c r="H139">
        <f t="shared" si="5"/>
        <v>47.800000000000011</v>
      </c>
    </row>
    <row r="140" spans="1:8">
      <c r="A140" s="1" t="s">
        <v>35</v>
      </c>
      <c r="B140" s="1" t="s">
        <v>34</v>
      </c>
      <c r="C140" s="2" t="s">
        <v>20</v>
      </c>
      <c r="D140" s="5">
        <v>6.3399999999999998E-2</v>
      </c>
      <c r="E140">
        <v>5.8000000000000003E-2</v>
      </c>
      <c r="F140" s="5">
        <f t="shared" si="4"/>
        <v>5.3999999999999951E-3</v>
      </c>
      <c r="G140">
        <v>1</v>
      </c>
      <c r="H140">
        <f t="shared" si="5"/>
        <v>5.399999999999995</v>
      </c>
    </row>
    <row r="141" spans="1:8">
      <c r="A141" s="1" t="s">
        <v>35</v>
      </c>
      <c r="B141" s="1" t="s">
        <v>34</v>
      </c>
      <c r="C141" s="2" t="s">
        <v>22</v>
      </c>
      <c r="D141" s="5">
        <v>9.11E-2</v>
      </c>
      <c r="E141">
        <v>7.1999999999999995E-2</v>
      </c>
      <c r="F141" s="5">
        <f t="shared" si="4"/>
        <v>1.9100000000000006E-2</v>
      </c>
      <c r="G141">
        <v>1</v>
      </c>
      <c r="H141">
        <f t="shared" si="5"/>
        <v>19.100000000000005</v>
      </c>
    </row>
    <row r="142" spans="1:8">
      <c r="A142" s="1" t="s">
        <v>35</v>
      </c>
      <c r="B142" s="1" t="s">
        <v>34</v>
      </c>
      <c r="C142" s="2" t="s">
        <v>23</v>
      </c>
      <c r="D142" s="5">
        <v>0.112</v>
      </c>
      <c r="E142">
        <v>6.2E-2</v>
      </c>
      <c r="F142" s="5">
        <f t="shared" si="4"/>
        <v>0.05</v>
      </c>
      <c r="G142">
        <v>1</v>
      </c>
      <c r="H142">
        <f t="shared" si="5"/>
        <v>50</v>
      </c>
    </row>
    <row r="143" spans="1:8">
      <c r="A143" s="1" t="s">
        <v>35</v>
      </c>
      <c r="B143" s="1" t="s">
        <v>34</v>
      </c>
      <c r="C143" s="2" t="s">
        <v>24</v>
      </c>
      <c r="D143" s="5">
        <v>0.1061</v>
      </c>
      <c r="E143">
        <v>0.06</v>
      </c>
      <c r="F143" s="5">
        <f t="shared" si="4"/>
        <v>4.6100000000000002E-2</v>
      </c>
      <c r="G143">
        <v>1</v>
      </c>
      <c r="H143">
        <f t="shared" si="5"/>
        <v>46.1</v>
      </c>
    </row>
    <row r="144" spans="1:8">
      <c r="A144" s="1" t="s">
        <v>35</v>
      </c>
      <c r="B144" s="1" t="s">
        <v>34</v>
      </c>
      <c r="C144" s="2" t="s">
        <v>26</v>
      </c>
      <c r="D144" s="5">
        <v>0.12479999999999999</v>
      </c>
      <c r="E144">
        <v>6.8000000000000005E-2</v>
      </c>
      <c r="F144" s="5">
        <f t="shared" si="4"/>
        <v>5.6799999999999989E-2</v>
      </c>
      <c r="G144">
        <v>1</v>
      </c>
      <c r="H144">
        <f t="shared" si="5"/>
        <v>56.79999999999999</v>
      </c>
    </row>
    <row r="145" spans="1:8">
      <c r="A145" s="1" t="s">
        <v>35</v>
      </c>
      <c r="B145" s="1" t="s">
        <v>34</v>
      </c>
      <c r="C145" s="2" t="s">
        <v>27</v>
      </c>
      <c r="D145" s="5">
        <v>0.1086</v>
      </c>
      <c r="E145">
        <v>5.8999999999999997E-2</v>
      </c>
      <c r="F145" s="5">
        <f t="shared" si="4"/>
        <v>4.9600000000000005E-2</v>
      </c>
      <c r="G145">
        <v>1</v>
      </c>
      <c r="H145">
        <f t="shared" si="5"/>
        <v>49.600000000000009</v>
      </c>
    </row>
    <row r="146" spans="1:8">
      <c r="A146" s="1" t="s">
        <v>36</v>
      </c>
      <c r="B146" s="1" t="s">
        <v>37</v>
      </c>
      <c r="C146" s="2" t="s">
        <v>4</v>
      </c>
      <c r="D146" s="5">
        <v>0.55730000000000002</v>
      </c>
      <c r="E146">
        <v>9.0999999999999998E-2</v>
      </c>
      <c r="F146" s="5">
        <f t="shared" si="4"/>
        <v>0.46630000000000005</v>
      </c>
      <c r="G146">
        <v>1</v>
      </c>
      <c r="H146">
        <f t="shared" si="5"/>
        <v>466.30000000000007</v>
      </c>
    </row>
    <row r="147" spans="1:8">
      <c r="A147" s="1" t="s">
        <v>36</v>
      </c>
      <c r="B147" s="1" t="s">
        <v>37</v>
      </c>
      <c r="C147" s="2" t="s">
        <v>6</v>
      </c>
      <c r="D147" s="5">
        <v>0.70350000000000001</v>
      </c>
      <c r="E147">
        <v>0.14099999999999999</v>
      </c>
      <c r="F147" s="5">
        <f t="shared" si="4"/>
        <v>0.5625</v>
      </c>
      <c r="G147">
        <v>1</v>
      </c>
      <c r="H147">
        <f t="shared" si="5"/>
        <v>562.5</v>
      </c>
    </row>
    <row r="148" spans="1:8">
      <c r="A148" s="1" t="s">
        <v>36</v>
      </c>
      <c r="B148" s="1" t="s">
        <v>37</v>
      </c>
      <c r="C148" s="2" t="s">
        <v>7</v>
      </c>
      <c r="D148" s="5">
        <v>0.6845</v>
      </c>
      <c r="E148">
        <v>0.183</v>
      </c>
      <c r="F148" s="5">
        <f t="shared" si="4"/>
        <v>0.50150000000000006</v>
      </c>
      <c r="G148">
        <v>1</v>
      </c>
      <c r="H148">
        <f t="shared" si="5"/>
        <v>501.50000000000006</v>
      </c>
    </row>
    <row r="149" spans="1:8">
      <c r="A149" s="1" t="s">
        <v>36</v>
      </c>
      <c r="B149" s="1" t="s">
        <v>37</v>
      </c>
      <c r="C149" s="2" t="s">
        <v>8</v>
      </c>
      <c r="D149" s="5">
        <v>0.78790000000000004</v>
      </c>
      <c r="E149">
        <v>0.20699999999999999</v>
      </c>
      <c r="F149" s="5">
        <f t="shared" si="4"/>
        <v>0.58090000000000008</v>
      </c>
      <c r="G149">
        <v>1</v>
      </c>
      <c r="H149">
        <f t="shared" si="5"/>
        <v>580.90000000000009</v>
      </c>
    </row>
    <row r="150" spans="1:8">
      <c r="A150" s="1" t="s">
        <v>36</v>
      </c>
      <c r="B150" s="1" t="s">
        <v>37</v>
      </c>
      <c r="C150" s="2" t="s">
        <v>10</v>
      </c>
      <c r="D150" s="5">
        <v>0.62129999999999996</v>
      </c>
      <c r="E150">
        <v>0.14299999999999999</v>
      </c>
      <c r="F150" s="5">
        <f t="shared" si="4"/>
        <v>0.47829999999999995</v>
      </c>
      <c r="G150">
        <v>1</v>
      </c>
      <c r="H150">
        <f t="shared" si="5"/>
        <v>478.29999999999995</v>
      </c>
    </row>
    <row r="151" spans="1:8">
      <c r="A151" s="1" t="s">
        <v>36</v>
      </c>
      <c r="B151" s="1" t="s">
        <v>37</v>
      </c>
      <c r="C151" s="2" t="s">
        <v>11</v>
      </c>
      <c r="D151" s="5">
        <v>0.73260000000000003</v>
      </c>
      <c r="E151">
        <v>0.13400000000000001</v>
      </c>
      <c r="F151" s="5">
        <f t="shared" si="4"/>
        <v>0.59860000000000002</v>
      </c>
      <c r="G151">
        <v>1</v>
      </c>
      <c r="H151">
        <f t="shared" si="5"/>
        <v>598.6</v>
      </c>
    </row>
    <row r="152" spans="1:8">
      <c r="A152" s="1" t="s">
        <v>36</v>
      </c>
      <c r="B152" s="1" t="s">
        <v>37</v>
      </c>
      <c r="C152" s="2" t="s">
        <v>12</v>
      </c>
      <c r="D152" s="5">
        <v>0.62390000000000001</v>
      </c>
      <c r="E152">
        <v>0.13500000000000001</v>
      </c>
      <c r="F152" s="5">
        <f t="shared" si="4"/>
        <v>0.4889</v>
      </c>
      <c r="G152">
        <v>1</v>
      </c>
      <c r="H152">
        <f t="shared" si="5"/>
        <v>488.9</v>
      </c>
    </row>
    <row r="153" spans="1:8">
      <c r="A153" s="1" t="s">
        <v>36</v>
      </c>
      <c r="B153" s="1" t="s">
        <v>37</v>
      </c>
      <c r="C153" s="2" t="s">
        <v>14</v>
      </c>
      <c r="D153" s="5">
        <v>0.69479999999999997</v>
      </c>
      <c r="E153">
        <v>0.17</v>
      </c>
      <c r="F153" s="5">
        <f t="shared" si="4"/>
        <v>0.52479999999999993</v>
      </c>
      <c r="G153">
        <v>1</v>
      </c>
      <c r="H153">
        <f t="shared" si="5"/>
        <v>524.79999999999995</v>
      </c>
    </row>
    <row r="154" spans="1:8">
      <c r="A154" s="1" t="s">
        <v>36</v>
      </c>
      <c r="B154" s="1" t="s">
        <v>37</v>
      </c>
      <c r="C154" s="2" t="s">
        <v>15</v>
      </c>
      <c r="D154" s="5">
        <v>0.63380000000000003</v>
      </c>
      <c r="E154">
        <v>0.13</v>
      </c>
      <c r="F154" s="5">
        <f t="shared" si="4"/>
        <v>0.50380000000000003</v>
      </c>
      <c r="G154">
        <v>1</v>
      </c>
      <c r="H154">
        <f t="shared" si="5"/>
        <v>503.8</v>
      </c>
    </row>
    <row r="155" spans="1:8">
      <c r="A155" s="1" t="s">
        <v>36</v>
      </c>
      <c r="B155" s="1" t="s">
        <v>37</v>
      </c>
      <c r="C155" s="2" t="s">
        <v>16</v>
      </c>
      <c r="D155" s="5">
        <v>0.7228</v>
      </c>
      <c r="E155">
        <v>0.29799999999999999</v>
      </c>
      <c r="F155" s="5">
        <f t="shared" si="4"/>
        <v>0.42480000000000001</v>
      </c>
      <c r="G155">
        <v>1</v>
      </c>
      <c r="H155">
        <f t="shared" si="5"/>
        <v>424.8</v>
      </c>
    </row>
    <row r="156" spans="1:8">
      <c r="A156" s="1" t="s">
        <v>36</v>
      </c>
      <c r="B156" s="1" t="s">
        <v>37</v>
      </c>
      <c r="C156" s="2" t="s">
        <v>18</v>
      </c>
      <c r="D156" s="5">
        <v>0.77359999999999995</v>
      </c>
      <c r="E156">
        <v>0.32300000000000001</v>
      </c>
      <c r="F156" s="5">
        <f t="shared" si="4"/>
        <v>0.45059999999999995</v>
      </c>
      <c r="G156">
        <v>1</v>
      </c>
      <c r="H156">
        <f t="shared" si="5"/>
        <v>450.59999999999997</v>
      </c>
    </row>
    <row r="157" spans="1:8">
      <c r="A157" s="1" t="s">
        <v>36</v>
      </c>
      <c r="B157" s="1" t="s">
        <v>37</v>
      </c>
      <c r="C157" s="2" t="s">
        <v>19</v>
      </c>
      <c r="D157" s="5">
        <v>0.61880000000000002</v>
      </c>
      <c r="E157">
        <v>0.23599999999999999</v>
      </c>
      <c r="F157" s="5">
        <f t="shared" si="4"/>
        <v>0.38280000000000003</v>
      </c>
      <c r="G157">
        <v>1</v>
      </c>
      <c r="H157">
        <f t="shared" si="5"/>
        <v>382.8</v>
      </c>
    </row>
    <row r="158" spans="1:8">
      <c r="A158" s="1" t="s">
        <v>36</v>
      </c>
      <c r="B158" s="1" t="s">
        <v>37</v>
      </c>
      <c r="C158" s="2" t="s">
        <v>20</v>
      </c>
      <c r="D158" s="5">
        <v>0.70040000000000002</v>
      </c>
      <c r="E158">
        <v>0.252</v>
      </c>
      <c r="F158" s="5">
        <f t="shared" si="4"/>
        <v>0.44840000000000002</v>
      </c>
      <c r="G158">
        <v>1</v>
      </c>
      <c r="H158">
        <f t="shared" si="5"/>
        <v>448.40000000000003</v>
      </c>
    </row>
    <row r="159" spans="1:8">
      <c r="A159" s="1" t="s">
        <v>36</v>
      </c>
      <c r="B159" s="1" t="s">
        <v>37</v>
      </c>
      <c r="C159" s="2" t="s">
        <v>22</v>
      </c>
      <c r="D159" s="5">
        <v>0.69520000000000004</v>
      </c>
      <c r="E159">
        <v>0.253</v>
      </c>
      <c r="F159" s="5">
        <f t="shared" si="4"/>
        <v>0.44220000000000004</v>
      </c>
      <c r="G159">
        <v>1</v>
      </c>
      <c r="H159">
        <f t="shared" si="5"/>
        <v>442.20000000000005</v>
      </c>
    </row>
    <row r="160" spans="1:8">
      <c r="A160" s="1" t="s">
        <v>36</v>
      </c>
      <c r="B160" s="1" t="s">
        <v>37</v>
      </c>
      <c r="C160" s="2" t="s">
        <v>23</v>
      </c>
      <c r="D160" s="5">
        <v>0.76300000000000001</v>
      </c>
      <c r="E160">
        <v>0.30599999999999999</v>
      </c>
      <c r="F160" s="5">
        <f t="shared" si="4"/>
        <v>0.45700000000000002</v>
      </c>
      <c r="G160">
        <v>1</v>
      </c>
      <c r="H160">
        <f t="shared" si="5"/>
        <v>457</v>
      </c>
    </row>
    <row r="161" spans="1:8">
      <c r="A161" s="1" t="s">
        <v>36</v>
      </c>
      <c r="B161" s="1" t="s">
        <v>37</v>
      </c>
      <c r="C161" s="2" t="s">
        <v>24</v>
      </c>
      <c r="D161" s="5">
        <v>0.86450000000000005</v>
      </c>
      <c r="E161">
        <v>0.374</v>
      </c>
      <c r="F161" s="5">
        <f t="shared" si="4"/>
        <v>0.49050000000000005</v>
      </c>
      <c r="G161">
        <v>1</v>
      </c>
      <c r="H161">
        <f t="shared" si="5"/>
        <v>490.50000000000006</v>
      </c>
    </row>
    <row r="162" spans="1:8">
      <c r="A162" s="1" t="s">
        <v>36</v>
      </c>
      <c r="B162" s="1" t="s">
        <v>37</v>
      </c>
      <c r="C162" s="2" t="s">
        <v>26</v>
      </c>
      <c r="D162" s="5">
        <v>0.7016</v>
      </c>
      <c r="E162">
        <v>0.27400000000000002</v>
      </c>
      <c r="F162" s="5">
        <f t="shared" si="4"/>
        <v>0.42759999999999998</v>
      </c>
      <c r="G162">
        <v>1</v>
      </c>
      <c r="H162">
        <f t="shared" si="5"/>
        <v>427.59999999999997</v>
      </c>
    </row>
    <row r="163" spans="1:8">
      <c r="A163" s="1" t="s">
        <v>36</v>
      </c>
      <c r="B163" s="1" t="s">
        <v>37</v>
      </c>
      <c r="C163" s="2" t="s">
        <v>27</v>
      </c>
      <c r="D163" s="5">
        <v>0.98950000000000005</v>
      </c>
      <c r="E163">
        <v>0.54800000000000004</v>
      </c>
      <c r="F163" s="5">
        <f t="shared" si="4"/>
        <v>0.4415</v>
      </c>
      <c r="G163">
        <v>1</v>
      </c>
      <c r="H163">
        <f t="shared" si="5"/>
        <v>441.5</v>
      </c>
    </row>
    <row r="164" spans="1:8">
      <c r="A164" s="1" t="s">
        <v>36</v>
      </c>
      <c r="B164" s="1" t="s">
        <v>38</v>
      </c>
      <c r="C164" s="2" t="s">
        <v>4</v>
      </c>
      <c r="D164" s="5">
        <v>0.2024</v>
      </c>
      <c r="E164">
        <v>7.0000000000000007E-2</v>
      </c>
      <c r="F164" s="5">
        <f t="shared" si="4"/>
        <v>0.13239999999999999</v>
      </c>
      <c r="G164">
        <v>5</v>
      </c>
      <c r="H164">
        <f t="shared" si="5"/>
        <v>26.479999999999997</v>
      </c>
    </row>
    <row r="165" spans="1:8">
      <c r="A165" s="1" t="s">
        <v>36</v>
      </c>
      <c r="B165" s="1" t="s">
        <v>38</v>
      </c>
      <c r="C165" s="2" t="s">
        <v>6</v>
      </c>
      <c r="D165" s="5">
        <v>0.44719999999999999</v>
      </c>
      <c r="E165">
        <v>7.3999999999999996E-2</v>
      </c>
      <c r="F165" s="5">
        <f t="shared" si="4"/>
        <v>0.37319999999999998</v>
      </c>
      <c r="G165">
        <v>5</v>
      </c>
      <c r="H165">
        <f t="shared" si="5"/>
        <v>74.64</v>
      </c>
    </row>
    <row r="166" spans="1:8">
      <c r="A166" s="1" t="s">
        <v>36</v>
      </c>
      <c r="B166" s="1" t="s">
        <v>38</v>
      </c>
      <c r="C166" s="2" t="s">
        <v>7</v>
      </c>
      <c r="D166" s="5">
        <v>0.27389999999999998</v>
      </c>
      <c r="E166">
        <v>7.0000000000000007E-2</v>
      </c>
      <c r="F166" s="5">
        <f t="shared" si="4"/>
        <v>0.20389999999999997</v>
      </c>
      <c r="G166">
        <v>5</v>
      </c>
      <c r="H166">
        <f t="shared" si="5"/>
        <v>40.779999999999994</v>
      </c>
    </row>
    <row r="167" spans="1:8">
      <c r="A167" s="1" t="s">
        <v>36</v>
      </c>
      <c r="B167" s="1" t="s">
        <v>38</v>
      </c>
      <c r="C167" s="2" t="s">
        <v>8</v>
      </c>
      <c r="D167" s="5">
        <v>0.34660000000000002</v>
      </c>
      <c r="E167">
        <v>7.0000000000000007E-2</v>
      </c>
      <c r="F167" s="5">
        <f t="shared" si="4"/>
        <v>0.27660000000000001</v>
      </c>
      <c r="G167">
        <v>5</v>
      </c>
      <c r="H167">
        <f t="shared" si="5"/>
        <v>55.320000000000007</v>
      </c>
    </row>
    <row r="168" spans="1:8">
      <c r="A168" s="1" t="s">
        <v>36</v>
      </c>
      <c r="B168" s="1" t="s">
        <v>38</v>
      </c>
      <c r="C168" s="2" t="s">
        <v>10</v>
      </c>
      <c r="D168" s="5">
        <v>0.88119999999999998</v>
      </c>
      <c r="E168">
        <v>7.0999999999999994E-2</v>
      </c>
      <c r="F168" s="5">
        <f t="shared" si="4"/>
        <v>0.81020000000000003</v>
      </c>
      <c r="G168">
        <v>5</v>
      </c>
      <c r="H168">
        <f t="shared" si="5"/>
        <v>162.04000000000002</v>
      </c>
    </row>
    <row r="169" spans="1:8">
      <c r="A169" s="1" t="s">
        <v>36</v>
      </c>
      <c r="B169" s="1" t="s">
        <v>38</v>
      </c>
      <c r="C169" s="2" t="s">
        <v>11</v>
      </c>
      <c r="D169" s="5">
        <v>0.40310000000000001</v>
      </c>
      <c r="E169">
        <v>5.6000000000000001E-2</v>
      </c>
      <c r="F169" s="5">
        <f t="shared" si="4"/>
        <v>0.34710000000000002</v>
      </c>
      <c r="G169">
        <v>5</v>
      </c>
      <c r="H169">
        <f t="shared" si="5"/>
        <v>69.42</v>
      </c>
    </row>
    <row r="170" spans="1:8">
      <c r="A170" s="1" t="s">
        <v>36</v>
      </c>
      <c r="B170" s="1" t="s">
        <v>38</v>
      </c>
      <c r="C170" s="2" t="s">
        <v>12</v>
      </c>
      <c r="D170" s="5">
        <v>0.37680000000000002</v>
      </c>
      <c r="E170">
        <v>7.0999999999999994E-2</v>
      </c>
      <c r="F170" s="5">
        <f t="shared" si="4"/>
        <v>0.30580000000000002</v>
      </c>
      <c r="G170">
        <v>5</v>
      </c>
      <c r="H170">
        <f t="shared" si="5"/>
        <v>61.160000000000004</v>
      </c>
    </row>
    <row r="171" spans="1:8">
      <c r="A171" s="1" t="s">
        <v>36</v>
      </c>
      <c r="B171" s="1" t="s">
        <v>38</v>
      </c>
      <c r="C171" s="2" t="s">
        <v>14</v>
      </c>
      <c r="D171" s="5">
        <v>0.24210000000000001</v>
      </c>
      <c r="E171">
        <v>7.0000000000000007E-2</v>
      </c>
      <c r="F171" s="5">
        <f t="shared" si="4"/>
        <v>0.1721</v>
      </c>
      <c r="G171">
        <v>5</v>
      </c>
      <c r="H171">
        <f t="shared" si="5"/>
        <v>34.42</v>
      </c>
    </row>
    <row r="172" spans="1:8">
      <c r="A172" s="1" t="s">
        <v>36</v>
      </c>
      <c r="B172" s="1" t="s">
        <v>38</v>
      </c>
      <c r="C172" s="2" t="s">
        <v>15</v>
      </c>
      <c r="D172" s="5">
        <v>0.30180000000000001</v>
      </c>
      <c r="E172">
        <v>5.7000000000000002E-2</v>
      </c>
      <c r="F172" s="5">
        <f t="shared" si="4"/>
        <v>0.24480000000000002</v>
      </c>
      <c r="G172">
        <v>5</v>
      </c>
      <c r="H172">
        <f t="shared" si="5"/>
        <v>48.96</v>
      </c>
    </row>
    <row r="173" spans="1:8">
      <c r="A173" s="1" t="s">
        <v>36</v>
      </c>
      <c r="B173" s="1" t="s">
        <v>38</v>
      </c>
      <c r="C173" s="2" t="s">
        <v>16</v>
      </c>
      <c r="D173" s="5">
        <v>0.27760000000000001</v>
      </c>
      <c r="E173">
        <v>5.2999999999999999E-2</v>
      </c>
      <c r="F173" s="5">
        <f t="shared" si="4"/>
        <v>0.22460000000000002</v>
      </c>
      <c r="G173">
        <v>5</v>
      </c>
      <c r="H173">
        <f t="shared" si="5"/>
        <v>44.92</v>
      </c>
    </row>
    <row r="174" spans="1:8">
      <c r="A174" s="1" t="s">
        <v>36</v>
      </c>
      <c r="B174" s="1" t="s">
        <v>38</v>
      </c>
      <c r="C174" s="2" t="s">
        <v>18</v>
      </c>
      <c r="D174" s="5">
        <v>0.79200000000000004</v>
      </c>
      <c r="E174">
        <v>5.3999999999999999E-2</v>
      </c>
      <c r="F174" s="5">
        <f t="shared" si="4"/>
        <v>0.73799999999999999</v>
      </c>
      <c r="G174">
        <v>5</v>
      </c>
      <c r="H174">
        <f t="shared" si="5"/>
        <v>147.6</v>
      </c>
    </row>
    <row r="175" spans="1:8">
      <c r="A175" s="1" t="s">
        <v>36</v>
      </c>
      <c r="B175" s="1" t="s">
        <v>38</v>
      </c>
      <c r="C175" s="2" t="s">
        <v>19</v>
      </c>
      <c r="D175" s="5">
        <v>0.2427</v>
      </c>
      <c r="E175">
        <v>5.7000000000000002E-2</v>
      </c>
      <c r="F175" s="5">
        <f t="shared" si="4"/>
        <v>0.1857</v>
      </c>
      <c r="G175">
        <v>5</v>
      </c>
      <c r="H175">
        <f t="shared" si="5"/>
        <v>37.14</v>
      </c>
    </row>
    <row r="176" spans="1:8">
      <c r="A176" s="1" t="s">
        <v>36</v>
      </c>
      <c r="B176" s="1" t="s">
        <v>38</v>
      </c>
      <c r="C176" s="2" t="s">
        <v>20</v>
      </c>
      <c r="D176" s="5">
        <v>0.29299999999999998</v>
      </c>
      <c r="E176">
        <v>0.05</v>
      </c>
      <c r="F176" s="5">
        <f t="shared" si="4"/>
        <v>0.24299999999999999</v>
      </c>
      <c r="G176">
        <v>5</v>
      </c>
      <c r="H176">
        <f t="shared" si="5"/>
        <v>48.6</v>
      </c>
    </row>
    <row r="177" spans="1:8">
      <c r="A177" s="1" t="s">
        <v>36</v>
      </c>
      <c r="B177" s="1" t="s">
        <v>38</v>
      </c>
      <c r="C177" s="2" t="s">
        <v>22</v>
      </c>
      <c r="D177" s="5">
        <v>0.28260000000000002</v>
      </c>
      <c r="E177">
        <v>5.8000000000000003E-2</v>
      </c>
      <c r="F177" s="5">
        <f t="shared" si="4"/>
        <v>0.22460000000000002</v>
      </c>
      <c r="G177">
        <v>5</v>
      </c>
      <c r="H177">
        <f t="shared" si="5"/>
        <v>44.92</v>
      </c>
    </row>
    <row r="178" spans="1:8">
      <c r="A178" s="1" t="s">
        <v>36</v>
      </c>
      <c r="B178" s="1" t="s">
        <v>38</v>
      </c>
      <c r="C178" s="2" t="s">
        <v>23</v>
      </c>
      <c r="D178" s="5">
        <v>0.21240000000000001</v>
      </c>
      <c r="E178">
        <v>6.0999999999999999E-2</v>
      </c>
      <c r="F178" s="5">
        <f t="shared" si="4"/>
        <v>0.15140000000000001</v>
      </c>
      <c r="G178">
        <v>5</v>
      </c>
      <c r="H178">
        <f>1000*F178/G178</f>
        <v>30.28</v>
      </c>
    </row>
    <row r="179" spans="1:8">
      <c r="A179" s="1" t="s">
        <v>36</v>
      </c>
      <c r="B179" s="1" t="s">
        <v>38</v>
      </c>
      <c r="C179" s="2" t="s">
        <v>24</v>
      </c>
      <c r="D179" s="5">
        <v>0.89349999999999996</v>
      </c>
      <c r="E179">
        <v>7.2999999999999995E-2</v>
      </c>
      <c r="F179" s="5">
        <f t="shared" si="4"/>
        <v>0.82050000000000001</v>
      </c>
      <c r="G179">
        <v>5</v>
      </c>
      <c r="H179">
        <f t="shared" ref="H179:H242" si="6">1000*F179/G179</f>
        <v>164.1</v>
      </c>
    </row>
    <row r="180" spans="1:8">
      <c r="A180" s="1" t="s">
        <v>36</v>
      </c>
      <c r="B180" s="1" t="s">
        <v>38</v>
      </c>
      <c r="C180" s="2" t="s">
        <v>26</v>
      </c>
      <c r="D180" s="5">
        <v>0.27710000000000001</v>
      </c>
      <c r="E180">
        <v>7.0000000000000007E-2</v>
      </c>
      <c r="F180" s="5">
        <f t="shared" si="4"/>
        <v>0.20710000000000001</v>
      </c>
      <c r="G180">
        <v>5</v>
      </c>
      <c r="H180">
        <f t="shared" si="6"/>
        <v>41.42</v>
      </c>
    </row>
    <row r="181" spans="1:8">
      <c r="A181" s="1" t="s">
        <v>36</v>
      </c>
      <c r="B181" s="1" t="s">
        <v>38</v>
      </c>
      <c r="C181" s="2" t="s">
        <v>27</v>
      </c>
      <c r="D181" s="5">
        <v>0.19620000000000001</v>
      </c>
      <c r="E181">
        <v>6.7000000000000004E-2</v>
      </c>
      <c r="F181" s="5">
        <f t="shared" si="4"/>
        <v>0.12920000000000001</v>
      </c>
      <c r="G181">
        <v>5</v>
      </c>
      <c r="H181">
        <f t="shared" si="6"/>
        <v>25.840000000000003</v>
      </c>
    </row>
    <row r="182" spans="1:8">
      <c r="A182" s="1" t="s">
        <v>36</v>
      </c>
      <c r="B182" s="1" t="s">
        <v>39</v>
      </c>
      <c r="C182" s="2" t="s">
        <v>4</v>
      </c>
      <c r="D182" s="5">
        <v>0.1245</v>
      </c>
      <c r="E182">
        <v>4.9000000000000002E-2</v>
      </c>
      <c r="F182" s="5">
        <f t="shared" si="4"/>
        <v>7.5499999999999998E-2</v>
      </c>
      <c r="G182">
        <v>5</v>
      </c>
      <c r="H182">
        <f t="shared" si="6"/>
        <v>15.1</v>
      </c>
    </row>
    <row r="183" spans="1:8">
      <c r="A183" s="1" t="s">
        <v>36</v>
      </c>
      <c r="B183" s="1" t="s">
        <v>39</v>
      </c>
      <c r="C183" s="2" t="s">
        <v>6</v>
      </c>
      <c r="D183" s="5">
        <v>0.31979999999999997</v>
      </c>
      <c r="E183">
        <v>4.9000000000000002E-2</v>
      </c>
      <c r="F183" s="5">
        <f t="shared" si="4"/>
        <v>0.27079999999999999</v>
      </c>
      <c r="G183">
        <v>5</v>
      </c>
      <c r="H183">
        <f t="shared" si="6"/>
        <v>54.160000000000004</v>
      </c>
    </row>
    <row r="184" spans="1:8">
      <c r="A184" s="1" t="s">
        <v>36</v>
      </c>
      <c r="B184" s="1" t="s">
        <v>39</v>
      </c>
      <c r="C184" s="2" t="s">
        <v>7</v>
      </c>
      <c r="D184" s="5">
        <v>1.5691999999999999</v>
      </c>
      <c r="E184">
        <v>0.21</v>
      </c>
      <c r="F184" s="5">
        <f t="shared" si="4"/>
        <v>1.3592</v>
      </c>
      <c r="G184">
        <v>5</v>
      </c>
      <c r="H184">
        <f t="shared" si="6"/>
        <v>271.84000000000003</v>
      </c>
    </row>
    <row r="185" spans="1:8">
      <c r="A185" s="1" t="s">
        <v>36</v>
      </c>
      <c r="B185" s="1" t="s">
        <v>39</v>
      </c>
      <c r="C185" s="2" t="s">
        <v>8</v>
      </c>
      <c r="D185" s="5">
        <v>0.47139999999999999</v>
      </c>
      <c r="E185">
        <v>4.8000000000000001E-2</v>
      </c>
      <c r="F185" s="5">
        <f t="shared" si="4"/>
        <v>0.4234</v>
      </c>
      <c r="G185">
        <v>5</v>
      </c>
      <c r="H185">
        <f t="shared" si="6"/>
        <v>84.679999999999993</v>
      </c>
    </row>
    <row r="186" spans="1:8">
      <c r="A186" s="1" t="s">
        <v>36</v>
      </c>
      <c r="B186" s="1" t="s">
        <v>39</v>
      </c>
      <c r="C186" s="2" t="s">
        <v>10</v>
      </c>
      <c r="D186" s="5">
        <v>0.33929999999999999</v>
      </c>
      <c r="E186">
        <v>5.0999999999999997E-2</v>
      </c>
      <c r="F186" s="5">
        <f t="shared" si="4"/>
        <v>0.2883</v>
      </c>
      <c r="G186">
        <v>5</v>
      </c>
      <c r="H186">
        <f t="shared" si="6"/>
        <v>57.660000000000004</v>
      </c>
    </row>
    <row r="187" spans="1:8">
      <c r="A187" s="1" t="s">
        <v>36</v>
      </c>
      <c r="B187" s="1" t="s">
        <v>39</v>
      </c>
      <c r="C187" s="2" t="s">
        <v>11</v>
      </c>
      <c r="D187" s="5">
        <v>0.2767</v>
      </c>
      <c r="E187">
        <v>5.8000000000000003E-2</v>
      </c>
      <c r="F187" s="5">
        <f t="shared" si="4"/>
        <v>0.21870000000000001</v>
      </c>
      <c r="G187">
        <v>5</v>
      </c>
      <c r="H187">
        <f t="shared" si="6"/>
        <v>43.74</v>
      </c>
    </row>
    <row r="188" spans="1:8">
      <c r="A188" s="1" t="s">
        <v>36</v>
      </c>
      <c r="B188" s="1" t="s">
        <v>39</v>
      </c>
      <c r="C188" s="2" t="s">
        <v>12</v>
      </c>
      <c r="D188" s="5">
        <v>0.1749</v>
      </c>
      <c r="E188">
        <v>6.2E-2</v>
      </c>
      <c r="F188" s="5">
        <f t="shared" si="4"/>
        <v>0.1129</v>
      </c>
      <c r="G188">
        <v>5</v>
      </c>
      <c r="H188">
        <f t="shared" si="6"/>
        <v>22.580000000000002</v>
      </c>
    </row>
    <row r="189" spans="1:8">
      <c r="A189" s="1" t="s">
        <v>36</v>
      </c>
      <c r="B189" s="1" t="s">
        <v>39</v>
      </c>
      <c r="C189" s="2" t="s">
        <v>14</v>
      </c>
      <c r="D189" s="5">
        <v>0.66110000000000002</v>
      </c>
      <c r="E189">
        <v>0.10100000000000001</v>
      </c>
      <c r="F189" s="5">
        <f t="shared" si="4"/>
        <v>0.56010000000000004</v>
      </c>
      <c r="G189">
        <v>1</v>
      </c>
      <c r="H189">
        <f t="shared" si="6"/>
        <v>560.1</v>
      </c>
    </row>
    <row r="190" spans="1:8">
      <c r="A190" s="1" t="s">
        <v>36</v>
      </c>
      <c r="B190" s="1" t="s">
        <v>39</v>
      </c>
      <c r="C190" s="2" t="s">
        <v>15</v>
      </c>
      <c r="D190" s="5">
        <v>0.84389999999999998</v>
      </c>
      <c r="E190">
        <v>0.187</v>
      </c>
      <c r="F190" s="5">
        <f t="shared" si="4"/>
        <v>0.65690000000000004</v>
      </c>
      <c r="G190">
        <v>1</v>
      </c>
      <c r="H190">
        <f t="shared" si="6"/>
        <v>656.90000000000009</v>
      </c>
    </row>
    <row r="191" spans="1:8">
      <c r="A191" s="1" t="s">
        <v>36</v>
      </c>
      <c r="B191" s="1" t="s">
        <v>39</v>
      </c>
      <c r="C191" s="2" t="s">
        <v>16</v>
      </c>
      <c r="D191" s="5">
        <v>0.308</v>
      </c>
      <c r="E191">
        <v>5.1999999999999998E-2</v>
      </c>
      <c r="F191" s="5">
        <f t="shared" si="4"/>
        <v>0.25600000000000001</v>
      </c>
      <c r="G191">
        <v>5</v>
      </c>
      <c r="H191">
        <f t="shared" si="6"/>
        <v>51.2</v>
      </c>
    </row>
    <row r="192" spans="1:8">
      <c r="A192" s="1" t="s">
        <v>36</v>
      </c>
      <c r="B192" s="1" t="s">
        <v>39</v>
      </c>
      <c r="C192" s="2" t="s">
        <v>18</v>
      </c>
      <c r="D192" s="5">
        <v>0.33600000000000002</v>
      </c>
      <c r="E192">
        <v>5.7000000000000002E-2</v>
      </c>
      <c r="F192" s="5">
        <f t="shared" si="4"/>
        <v>0.27900000000000003</v>
      </c>
      <c r="G192">
        <v>5</v>
      </c>
      <c r="H192">
        <f t="shared" si="6"/>
        <v>55.8</v>
      </c>
    </row>
    <row r="193" spans="1:8">
      <c r="A193" s="1" t="s">
        <v>36</v>
      </c>
      <c r="B193" s="1" t="s">
        <v>39</v>
      </c>
      <c r="C193" s="2" t="s">
        <v>19</v>
      </c>
      <c r="D193" s="5">
        <v>0.31890000000000002</v>
      </c>
      <c r="E193">
        <v>6.5000000000000002E-2</v>
      </c>
      <c r="F193" s="5">
        <f t="shared" si="4"/>
        <v>0.25390000000000001</v>
      </c>
      <c r="G193">
        <v>5</v>
      </c>
      <c r="H193">
        <f t="shared" si="6"/>
        <v>50.78</v>
      </c>
    </row>
    <row r="194" spans="1:8">
      <c r="A194" s="1" t="s">
        <v>36</v>
      </c>
      <c r="B194" s="1" t="s">
        <v>39</v>
      </c>
      <c r="C194" s="2" t="s">
        <v>20</v>
      </c>
      <c r="D194" s="5">
        <v>0.36659999999999998</v>
      </c>
      <c r="E194">
        <v>5.5E-2</v>
      </c>
      <c r="F194" s="5">
        <f t="shared" si="4"/>
        <v>0.31159999999999999</v>
      </c>
      <c r="G194">
        <v>5</v>
      </c>
      <c r="H194">
        <f t="shared" si="6"/>
        <v>62.319999999999993</v>
      </c>
    </row>
    <row r="195" spans="1:8">
      <c r="A195" s="1" t="s">
        <v>36</v>
      </c>
      <c r="B195" s="1" t="s">
        <v>39</v>
      </c>
      <c r="C195" s="2" t="s">
        <v>22</v>
      </c>
      <c r="D195" s="5">
        <v>0.70009999999999994</v>
      </c>
      <c r="E195">
        <v>0.153</v>
      </c>
      <c r="F195" s="5">
        <f t="shared" ref="F195:F258" si="7">D195-E195</f>
        <v>0.54709999999999992</v>
      </c>
      <c r="G195">
        <v>1</v>
      </c>
      <c r="H195">
        <f t="shared" si="6"/>
        <v>547.09999999999991</v>
      </c>
    </row>
    <row r="196" spans="1:8">
      <c r="A196" s="1" t="s">
        <v>36</v>
      </c>
      <c r="B196" s="1" t="s">
        <v>39</v>
      </c>
      <c r="C196" s="2" t="s">
        <v>23</v>
      </c>
      <c r="D196" s="5">
        <v>0.3604</v>
      </c>
      <c r="E196">
        <v>5.2999999999999999E-2</v>
      </c>
      <c r="F196" s="5">
        <f t="shared" si="7"/>
        <v>0.30740000000000001</v>
      </c>
      <c r="G196">
        <v>5</v>
      </c>
      <c r="H196">
        <f t="shared" si="6"/>
        <v>61.480000000000004</v>
      </c>
    </row>
    <row r="197" spans="1:8">
      <c r="A197" s="1" t="s">
        <v>36</v>
      </c>
      <c r="B197" s="1" t="s">
        <v>39</v>
      </c>
      <c r="C197" s="2" t="s">
        <v>24</v>
      </c>
      <c r="D197" s="5">
        <v>0.2306</v>
      </c>
      <c r="E197">
        <v>5.0999999999999997E-2</v>
      </c>
      <c r="F197" s="5">
        <f t="shared" si="7"/>
        <v>0.17960000000000001</v>
      </c>
      <c r="G197">
        <v>5</v>
      </c>
      <c r="H197">
        <f t="shared" si="6"/>
        <v>35.92</v>
      </c>
    </row>
    <row r="198" spans="1:8">
      <c r="A198" s="1" t="s">
        <v>36</v>
      </c>
      <c r="B198" s="1" t="s">
        <v>39</v>
      </c>
      <c r="C198" s="2" t="s">
        <v>26</v>
      </c>
      <c r="D198" s="5">
        <v>0.32500000000000001</v>
      </c>
      <c r="E198">
        <v>0.05</v>
      </c>
      <c r="F198" s="5">
        <f t="shared" si="7"/>
        <v>0.27500000000000002</v>
      </c>
      <c r="G198">
        <v>5</v>
      </c>
      <c r="H198">
        <f t="shared" si="6"/>
        <v>55</v>
      </c>
    </row>
    <row r="199" spans="1:8">
      <c r="A199" s="1" t="s">
        <v>36</v>
      </c>
      <c r="B199" s="1" t="s">
        <v>39</v>
      </c>
      <c r="C199" s="2" t="s">
        <v>27</v>
      </c>
      <c r="D199" s="5">
        <v>0.83979999999999999</v>
      </c>
      <c r="E199">
        <v>0.26400000000000001</v>
      </c>
      <c r="F199" s="5">
        <f t="shared" si="7"/>
        <v>0.57579999999999998</v>
      </c>
      <c r="G199">
        <v>1</v>
      </c>
      <c r="H199">
        <f t="shared" si="6"/>
        <v>575.79999999999995</v>
      </c>
    </row>
    <row r="200" spans="1:8">
      <c r="A200" s="1" t="s">
        <v>36</v>
      </c>
      <c r="B200" s="1" t="s">
        <v>40</v>
      </c>
      <c r="C200" s="2" t="s">
        <v>4</v>
      </c>
      <c r="D200" s="5">
        <v>0.25030000000000002</v>
      </c>
      <c r="E200">
        <v>4.7E-2</v>
      </c>
      <c r="F200" s="5">
        <f t="shared" si="7"/>
        <v>0.20330000000000004</v>
      </c>
      <c r="G200">
        <v>5</v>
      </c>
      <c r="H200">
        <f t="shared" si="6"/>
        <v>40.660000000000011</v>
      </c>
    </row>
    <row r="201" spans="1:8">
      <c r="A201" s="1" t="s">
        <v>36</v>
      </c>
      <c r="B201" s="1" t="s">
        <v>40</v>
      </c>
      <c r="C201" s="2" t="s">
        <v>6</v>
      </c>
      <c r="D201" s="5">
        <v>0.1142</v>
      </c>
      <c r="E201">
        <v>5.0999999999999997E-2</v>
      </c>
      <c r="F201" s="5">
        <f t="shared" si="7"/>
        <v>6.3200000000000006E-2</v>
      </c>
      <c r="G201">
        <v>5</v>
      </c>
      <c r="H201">
        <f t="shared" si="6"/>
        <v>12.64</v>
      </c>
    </row>
    <row r="202" spans="1:8">
      <c r="A202" s="1" t="s">
        <v>36</v>
      </c>
      <c r="B202" s="1" t="s">
        <v>40</v>
      </c>
      <c r="C202" s="2" t="s">
        <v>7</v>
      </c>
      <c r="D202" s="5">
        <v>0.26269999999999999</v>
      </c>
      <c r="E202">
        <v>4.2000000000000003E-2</v>
      </c>
      <c r="F202" s="5">
        <f t="shared" si="7"/>
        <v>0.22069999999999998</v>
      </c>
      <c r="G202">
        <v>5</v>
      </c>
      <c r="H202">
        <f t="shared" si="6"/>
        <v>44.14</v>
      </c>
    </row>
    <row r="203" spans="1:8">
      <c r="A203" s="1" t="s">
        <v>36</v>
      </c>
      <c r="B203" s="1" t="s">
        <v>40</v>
      </c>
      <c r="C203" s="2" t="s">
        <v>8</v>
      </c>
      <c r="D203" s="5">
        <v>0.22270000000000001</v>
      </c>
      <c r="E203">
        <v>5.0999999999999997E-2</v>
      </c>
      <c r="F203" s="5">
        <f t="shared" si="7"/>
        <v>0.17170000000000002</v>
      </c>
      <c r="G203">
        <v>5</v>
      </c>
      <c r="H203">
        <f t="shared" si="6"/>
        <v>34.340000000000003</v>
      </c>
    </row>
    <row r="204" spans="1:8">
      <c r="A204" s="1" t="s">
        <v>36</v>
      </c>
      <c r="B204" s="1" t="s">
        <v>40</v>
      </c>
      <c r="C204" s="2" t="s">
        <v>10</v>
      </c>
      <c r="D204" s="5">
        <v>0.20069999999999999</v>
      </c>
      <c r="E204">
        <v>5.0999999999999997E-2</v>
      </c>
      <c r="F204" s="5">
        <f t="shared" si="7"/>
        <v>0.1497</v>
      </c>
      <c r="G204">
        <v>5</v>
      </c>
      <c r="H204">
        <f t="shared" si="6"/>
        <v>29.939999999999998</v>
      </c>
    </row>
    <row r="205" spans="1:8">
      <c r="A205" s="1" t="s">
        <v>36</v>
      </c>
      <c r="B205" s="1" t="s">
        <v>40</v>
      </c>
      <c r="C205" s="2" t="s">
        <v>11</v>
      </c>
      <c r="D205" s="5">
        <v>0.19800000000000001</v>
      </c>
      <c r="E205">
        <v>4.4999999999999998E-2</v>
      </c>
      <c r="F205" s="5">
        <f t="shared" si="7"/>
        <v>0.15300000000000002</v>
      </c>
      <c r="G205">
        <v>5</v>
      </c>
      <c r="H205">
        <f t="shared" si="6"/>
        <v>30.600000000000005</v>
      </c>
    </row>
    <row r="206" spans="1:8">
      <c r="A206" s="1" t="s">
        <v>36</v>
      </c>
      <c r="B206" s="1" t="s">
        <v>40</v>
      </c>
      <c r="C206" s="2" t="s">
        <v>12</v>
      </c>
      <c r="D206" s="5">
        <v>0.2747</v>
      </c>
      <c r="E206">
        <v>4.5999999999999999E-2</v>
      </c>
      <c r="F206" s="5">
        <f t="shared" si="7"/>
        <v>0.22870000000000001</v>
      </c>
      <c r="G206">
        <v>5</v>
      </c>
      <c r="H206">
        <f t="shared" si="6"/>
        <v>45.74</v>
      </c>
    </row>
    <row r="207" spans="1:8">
      <c r="A207" s="1" t="s">
        <v>36</v>
      </c>
      <c r="B207" s="1" t="s">
        <v>40</v>
      </c>
      <c r="C207" s="2" t="s">
        <v>14</v>
      </c>
      <c r="D207" s="5">
        <v>0.2102</v>
      </c>
      <c r="E207">
        <v>4.9000000000000002E-2</v>
      </c>
      <c r="F207" s="5">
        <f t="shared" si="7"/>
        <v>0.16120000000000001</v>
      </c>
      <c r="G207">
        <v>5</v>
      </c>
      <c r="H207">
        <f t="shared" si="6"/>
        <v>32.24</v>
      </c>
    </row>
    <row r="208" spans="1:8">
      <c r="A208" s="1" t="s">
        <v>36</v>
      </c>
      <c r="B208" s="1" t="s">
        <v>40</v>
      </c>
      <c r="C208" s="2" t="s">
        <v>15</v>
      </c>
      <c r="D208" s="5">
        <v>0.40360000000000001</v>
      </c>
      <c r="E208">
        <v>0.06</v>
      </c>
      <c r="F208" s="5">
        <f t="shared" si="7"/>
        <v>0.34360000000000002</v>
      </c>
      <c r="G208">
        <v>5</v>
      </c>
      <c r="H208">
        <f t="shared" si="6"/>
        <v>68.72</v>
      </c>
    </row>
    <row r="209" spans="1:8">
      <c r="A209" s="1" t="s">
        <v>36</v>
      </c>
      <c r="B209" s="1" t="s">
        <v>40</v>
      </c>
      <c r="C209" s="2" t="s">
        <v>16</v>
      </c>
      <c r="D209" s="5">
        <v>0.2172</v>
      </c>
      <c r="E209">
        <v>4.8000000000000001E-2</v>
      </c>
      <c r="F209" s="5">
        <f t="shared" si="7"/>
        <v>0.16920000000000002</v>
      </c>
      <c r="G209">
        <v>5</v>
      </c>
      <c r="H209">
        <f t="shared" si="6"/>
        <v>33.840000000000003</v>
      </c>
    </row>
    <row r="210" spans="1:8">
      <c r="A210" s="1" t="s">
        <v>36</v>
      </c>
      <c r="B210" s="1" t="s">
        <v>40</v>
      </c>
      <c r="C210" s="2" t="s">
        <v>18</v>
      </c>
      <c r="D210" s="5">
        <v>0.249</v>
      </c>
      <c r="E210">
        <v>0.05</v>
      </c>
      <c r="F210" s="5">
        <f t="shared" si="7"/>
        <v>0.19900000000000001</v>
      </c>
      <c r="G210">
        <v>5</v>
      </c>
      <c r="H210">
        <f t="shared" si="6"/>
        <v>39.799999999999997</v>
      </c>
    </row>
    <row r="211" spans="1:8">
      <c r="A211" s="1" t="s">
        <v>36</v>
      </c>
      <c r="B211" s="1" t="s">
        <v>40</v>
      </c>
      <c r="C211" s="2" t="s">
        <v>19</v>
      </c>
      <c r="D211" s="5">
        <v>0.23119999999999999</v>
      </c>
      <c r="E211">
        <v>4.2000000000000003E-2</v>
      </c>
      <c r="F211" s="5">
        <f t="shared" si="7"/>
        <v>0.18919999999999998</v>
      </c>
      <c r="G211">
        <v>5</v>
      </c>
      <c r="H211">
        <f t="shared" si="6"/>
        <v>37.839999999999996</v>
      </c>
    </row>
    <row r="212" spans="1:8">
      <c r="A212" s="1" t="s">
        <v>36</v>
      </c>
      <c r="B212" s="1" t="s">
        <v>40</v>
      </c>
      <c r="C212" s="2" t="s">
        <v>20</v>
      </c>
      <c r="D212" s="5">
        <v>0.36030000000000001</v>
      </c>
      <c r="E212">
        <v>4.2000000000000003E-2</v>
      </c>
      <c r="F212" s="5">
        <f t="shared" si="7"/>
        <v>0.31830000000000003</v>
      </c>
      <c r="G212">
        <v>5</v>
      </c>
      <c r="H212">
        <f t="shared" si="6"/>
        <v>63.660000000000004</v>
      </c>
    </row>
    <row r="213" spans="1:8">
      <c r="A213" s="1" t="s">
        <v>36</v>
      </c>
      <c r="B213" s="1" t="s">
        <v>40</v>
      </c>
      <c r="C213" s="2" t="s">
        <v>22</v>
      </c>
      <c r="D213" s="5">
        <v>0.30030000000000001</v>
      </c>
      <c r="E213">
        <v>5.0999999999999997E-2</v>
      </c>
      <c r="F213" s="5">
        <f t="shared" si="7"/>
        <v>0.24930000000000002</v>
      </c>
      <c r="G213">
        <v>5</v>
      </c>
      <c r="H213">
        <f t="shared" si="6"/>
        <v>49.86</v>
      </c>
    </row>
    <row r="214" spans="1:8">
      <c r="A214" s="1" t="s">
        <v>36</v>
      </c>
      <c r="B214" s="1" t="s">
        <v>40</v>
      </c>
      <c r="C214" s="2" t="s">
        <v>23</v>
      </c>
      <c r="D214" s="5">
        <v>0.30480000000000002</v>
      </c>
      <c r="E214">
        <v>5.0999999999999997E-2</v>
      </c>
      <c r="F214" s="5">
        <f t="shared" si="7"/>
        <v>0.25380000000000003</v>
      </c>
      <c r="G214">
        <v>5</v>
      </c>
      <c r="H214">
        <f t="shared" si="6"/>
        <v>50.760000000000005</v>
      </c>
    </row>
    <row r="215" spans="1:8">
      <c r="A215" s="1" t="s">
        <v>36</v>
      </c>
      <c r="B215" s="1" t="s">
        <v>40</v>
      </c>
      <c r="C215" s="2" t="s">
        <v>24</v>
      </c>
      <c r="D215" s="5">
        <v>0.26029999999999998</v>
      </c>
      <c r="E215">
        <v>4.3999999999999997E-2</v>
      </c>
      <c r="F215" s="5">
        <f t="shared" si="7"/>
        <v>0.21629999999999999</v>
      </c>
      <c r="G215">
        <v>5</v>
      </c>
      <c r="H215">
        <f t="shared" si="6"/>
        <v>43.26</v>
      </c>
    </row>
    <row r="216" spans="1:8">
      <c r="A216" s="1" t="s">
        <v>36</v>
      </c>
      <c r="B216" s="1" t="s">
        <v>40</v>
      </c>
      <c r="C216" s="2" t="s">
        <v>26</v>
      </c>
      <c r="D216" s="5">
        <v>0.50390000000000001</v>
      </c>
      <c r="E216">
        <v>6.9000000000000006E-2</v>
      </c>
      <c r="F216" s="5">
        <f t="shared" si="7"/>
        <v>0.43490000000000001</v>
      </c>
      <c r="G216">
        <v>5</v>
      </c>
      <c r="H216">
        <f t="shared" si="6"/>
        <v>86.98</v>
      </c>
    </row>
    <row r="217" spans="1:8">
      <c r="A217" s="1" t="s">
        <v>36</v>
      </c>
      <c r="B217" s="1" t="s">
        <v>40</v>
      </c>
      <c r="C217" s="2" t="s">
        <v>27</v>
      </c>
      <c r="D217" s="5">
        <v>0.27829999999999999</v>
      </c>
      <c r="E217">
        <v>5.1999999999999998E-2</v>
      </c>
      <c r="F217" s="5">
        <f t="shared" si="7"/>
        <v>0.2263</v>
      </c>
      <c r="G217">
        <v>5</v>
      </c>
      <c r="H217">
        <f t="shared" si="6"/>
        <v>45.260000000000005</v>
      </c>
    </row>
    <row r="218" spans="1:8">
      <c r="A218" s="1" t="s">
        <v>36</v>
      </c>
      <c r="B218" s="1" t="s">
        <v>41</v>
      </c>
      <c r="C218" s="2" t="s">
        <v>4</v>
      </c>
      <c r="D218" s="5">
        <v>0.11600000000000001</v>
      </c>
      <c r="E218">
        <v>5.0999999999999997E-2</v>
      </c>
      <c r="F218" s="5">
        <f t="shared" si="7"/>
        <v>6.5000000000000002E-2</v>
      </c>
      <c r="G218">
        <v>1</v>
      </c>
      <c r="H218">
        <f t="shared" si="6"/>
        <v>65</v>
      </c>
    </row>
    <row r="219" spans="1:8">
      <c r="A219" s="1" t="s">
        <v>36</v>
      </c>
      <c r="B219" s="1" t="s">
        <v>41</v>
      </c>
      <c r="C219" s="2" t="s">
        <v>6</v>
      </c>
      <c r="D219" s="5">
        <v>0.13089999999999999</v>
      </c>
      <c r="E219">
        <v>6.5000000000000002E-2</v>
      </c>
      <c r="F219" s="5">
        <f t="shared" si="7"/>
        <v>6.5899999999999986E-2</v>
      </c>
      <c r="G219">
        <v>1</v>
      </c>
      <c r="H219">
        <f t="shared" si="6"/>
        <v>65.899999999999991</v>
      </c>
    </row>
    <row r="220" spans="1:8">
      <c r="A220" s="1" t="s">
        <v>36</v>
      </c>
      <c r="B220" s="1" t="s">
        <v>41</v>
      </c>
      <c r="C220" s="2" t="s">
        <v>7</v>
      </c>
      <c r="D220" s="5">
        <v>0.151</v>
      </c>
      <c r="E220">
        <v>5.8999999999999997E-2</v>
      </c>
      <c r="F220" s="5">
        <f t="shared" si="7"/>
        <v>9.1999999999999998E-2</v>
      </c>
      <c r="G220">
        <v>1</v>
      </c>
      <c r="H220">
        <f t="shared" si="6"/>
        <v>92</v>
      </c>
    </row>
    <row r="221" spans="1:8">
      <c r="A221" s="1" t="s">
        <v>36</v>
      </c>
      <c r="B221" s="1" t="s">
        <v>41</v>
      </c>
      <c r="C221" s="2" t="s">
        <v>8</v>
      </c>
      <c r="D221" s="5">
        <v>0.104</v>
      </c>
      <c r="E221">
        <v>4.7E-2</v>
      </c>
      <c r="F221" s="5">
        <f t="shared" si="7"/>
        <v>5.6999999999999995E-2</v>
      </c>
      <c r="G221">
        <v>1</v>
      </c>
      <c r="H221">
        <f t="shared" si="6"/>
        <v>56.999999999999993</v>
      </c>
    </row>
    <row r="222" spans="1:8">
      <c r="A222" s="1" t="s">
        <v>36</v>
      </c>
      <c r="B222" s="1" t="s">
        <v>41</v>
      </c>
      <c r="C222" s="2" t="s">
        <v>10</v>
      </c>
      <c r="D222" s="5">
        <v>0.1492</v>
      </c>
      <c r="E222">
        <v>6.8000000000000005E-2</v>
      </c>
      <c r="F222" s="5">
        <f t="shared" si="7"/>
        <v>8.1199999999999994E-2</v>
      </c>
      <c r="G222">
        <v>1</v>
      </c>
      <c r="H222">
        <f t="shared" si="6"/>
        <v>81.199999999999989</v>
      </c>
    </row>
    <row r="223" spans="1:8">
      <c r="A223" s="1" t="s">
        <v>36</v>
      </c>
      <c r="B223" s="1" t="s">
        <v>41</v>
      </c>
      <c r="C223" s="2" t="s">
        <v>11</v>
      </c>
      <c r="D223" s="5">
        <v>7.1499999999999994E-2</v>
      </c>
      <c r="E223">
        <v>6.6000000000000003E-2</v>
      </c>
      <c r="F223" s="5">
        <f t="shared" si="7"/>
        <v>5.499999999999991E-3</v>
      </c>
      <c r="G223">
        <v>1</v>
      </c>
      <c r="H223">
        <f t="shared" si="6"/>
        <v>5.4999999999999911</v>
      </c>
    </row>
    <row r="224" spans="1:8">
      <c r="A224" s="1" t="s">
        <v>36</v>
      </c>
      <c r="B224" s="1" t="s">
        <v>41</v>
      </c>
      <c r="C224" s="2" t="s">
        <v>12</v>
      </c>
      <c r="D224" s="5">
        <v>8.2199999999999995E-2</v>
      </c>
      <c r="E224">
        <v>7.0999999999999994E-2</v>
      </c>
      <c r="F224" s="5">
        <f t="shared" si="7"/>
        <v>1.1200000000000002E-2</v>
      </c>
      <c r="G224">
        <v>1</v>
      </c>
      <c r="H224">
        <f t="shared" si="6"/>
        <v>11.200000000000001</v>
      </c>
    </row>
    <row r="225" spans="1:8">
      <c r="A225" s="1" t="s">
        <v>36</v>
      </c>
      <c r="B225" s="1" t="s">
        <v>41</v>
      </c>
      <c r="C225" s="2" t="s">
        <v>14</v>
      </c>
      <c r="D225" s="5">
        <v>0.14230000000000001</v>
      </c>
      <c r="E225">
        <v>7.9000000000000001E-2</v>
      </c>
      <c r="F225" s="5">
        <f t="shared" si="7"/>
        <v>6.3300000000000009E-2</v>
      </c>
      <c r="G225">
        <v>1</v>
      </c>
      <c r="H225">
        <f t="shared" si="6"/>
        <v>63.300000000000011</v>
      </c>
    </row>
    <row r="226" spans="1:8">
      <c r="A226" s="1" t="s">
        <v>36</v>
      </c>
      <c r="B226" s="1" t="s">
        <v>41</v>
      </c>
      <c r="C226" s="2" t="s">
        <v>15</v>
      </c>
      <c r="D226" s="5">
        <v>9.2499999999999999E-2</v>
      </c>
      <c r="E226">
        <v>6.2E-2</v>
      </c>
      <c r="F226" s="5">
        <f t="shared" si="7"/>
        <v>3.0499999999999999E-2</v>
      </c>
      <c r="G226">
        <v>1</v>
      </c>
      <c r="H226">
        <f t="shared" si="6"/>
        <v>30.5</v>
      </c>
    </row>
    <row r="227" spans="1:8">
      <c r="A227" s="1" t="s">
        <v>36</v>
      </c>
      <c r="B227" s="1" t="s">
        <v>41</v>
      </c>
      <c r="C227" s="2" t="s">
        <v>16</v>
      </c>
      <c r="D227" s="5">
        <v>6.6500000000000004E-2</v>
      </c>
      <c r="E227">
        <v>5.5E-2</v>
      </c>
      <c r="F227" s="5">
        <f t="shared" si="7"/>
        <v>1.1500000000000003E-2</v>
      </c>
      <c r="G227">
        <v>1</v>
      </c>
      <c r="H227">
        <f t="shared" si="6"/>
        <v>11.500000000000004</v>
      </c>
    </row>
    <row r="228" spans="1:8">
      <c r="A228" s="1" t="s">
        <v>36</v>
      </c>
      <c r="B228" s="1" t="s">
        <v>41</v>
      </c>
      <c r="C228" s="2" t="s">
        <v>18</v>
      </c>
      <c r="D228" s="5">
        <v>9.7299999999999998E-2</v>
      </c>
      <c r="E228">
        <v>0.06</v>
      </c>
      <c r="F228" s="5">
        <f t="shared" si="7"/>
        <v>3.73E-2</v>
      </c>
      <c r="G228">
        <v>1</v>
      </c>
      <c r="H228">
        <f t="shared" si="6"/>
        <v>37.299999999999997</v>
      </c>
    </row>
    <row r="229" spans="1:8">
      <c r="A229" s="1" t="s">
        <v>36</v>
      </c>
      <c r="B229" s="1" t="s">
        <v>41</v>
      </c>
      <c r="C229" s="2" t="s">
        <v>19</v>
      </c>
      <c r="D229" s="5">
        <v>9.0800000000000006E-2</v>
      </c>
      <c r="E229">
        <v>5.8000000000000003E-2</v>
      </c>
      <c r="F229" s="5">
        <f t="shared" si="7"/>
        <v>3.2800000000000003E-2</v>
      </c>
      <c r="G229">
        <v>1</v>
      </c>
      <c r="H229">
        <f t="shared" si="6"/>
        <v>32.800000000000004</v>
      </c>
    </row>
    <row r="230" spans="1:8">
      <c r="A230" s="1" t="s">
        <v>36</v>
      </c>
      <c r="B230" s="1" t="s">
        <v>41</v>
      </c>
      <c r="C230" s="2" t="s">
        <v>20</v>
      </c>
      <c r="D230" s="5">
        <v>0.1242</v>
      </c>
      <c r="E230">
        <v>0.06</v>
      </c>
      <c r="F230" s="5">
        <f t="shared" si="7"/>
        <v>6.4200000000000007E-2</v>
      </c>
      <c r="G230">
        <v>1</v>
      </c>
      <c r="H230">
        <f t="shared" si="6"/>
        <v>64.2</v>
      </c>
    </row>
    <row r="231" spans="1:8">
      <c r="A231" s="1" t="s">
        <v>36</v>
      </c>
      <c r="B231" s="1" t="s">
        <v>41</v>
      </c>
      <c r="C231" s="2" t="s">
        <v>22</v>
      </c>
      <c r="D231" s="5">
        <v>9.2899999999999996E-2</v>
      </c>
      <c r="E231">
        <v>5.3999999999999999E-2</v>
      </c>
      <c r="F231" s="5">
        <f t="shared" si="7"/>
        <v>3.8899999999999997E-2</v>
      </c>
      <c r="G231">
        <v>1</v>
      </c>
      <c r="H231">
        <f t="shared" si="6"/>
        <v>38.9</v>
      </c>
    </row>
    <row r="232" spans="1:8">
      <c r="A232" s="1" t="s">
        <v>36</v>
      </c>
      <c r="B232" s="1" t="s">
        <v>41</v>
      </c>
      <c r="C232" s="2" t="s">
        <v>23</v>
      </c>
      <c r="D232" s="5">
        <v>0.16020000000000001</v>
      </c>
      <c r="E232">
        <v>5.6000000000000001E-2</v>
      </c>
      <c r="F232" s="5">
        <f t="shared" si="7"/>
        <v>0.10420000000000001</v>
      </c>
      <c r="G232">
        <v>1</v>
      </c>
      <c r="H232">
        <f t="shared" si="6"/>
        <v>104.20000000000002</v>
      </c>
    </row>
    <row r="233" spans="1:8">
      <c r="A233" s="1" t="s">
        <v>36</v>
      </c>
      <c r="B233" s="1" t="s">
        <v>41</v>
      </c>
      <c r="C233" s="2" t="s">
        <v>24</v>
      </c>
      <c r="D233" s="5">
        <v>0.11260000000000001</v>
      </c>
      <c r="E233">
        <v>6.2E-2</v>
      </c>
      <c r="F233" s="5">
        <f t="shared" si="7"/>
        <v>5.0600000000000006E-2</v>
      </c>
      <c r="G233">
        <v>1</v>
      </c>
      <c r="H233">
        <f t="shared" si="6"/>
        <v>50.600000000000009</v>
      </c>
    </row>
    <row r="234" spans="1:8">
      <c r="A234" s="1" t="s">
        <v>36</v>
      </c>
      <c r="B234" s="1" t="s">
        <v>41</v>
      </c>
      <c r="C234" s="2" t="s">
        <v>26</v>
      </c>
      <c r="D234" s="5">
        <v>0.1004</v>
      </c>
      <c r="E234">
        <v>6.0999999999999999E-2</v>
      </c>
      <c r="F234" s="5">
        <f t="shared" si="7"/>
        <v>3.9400000000000004E-2</v>
      </c>
      <c r="G234">
        <v>1</v>
      </c>
      <c r="H234">
        <f t="shared" si="6"/>
        <v>39.400000000000006</v>
      </c>
    </row>
    <row r="235" spans="1:8">
      <c r="A235" s="1" t="s">
        <v>36</v>
      </c>
      <c r="B235" s="1" t="s">
        <v>41</v>
      </c>
      <c r="C235" s="2" t="s">
        <v>27</v>
      </c>
      <c r="D235" s="5">
        <v>0.14940000000000001</v>
      </c>
      <c r="E235">
        <v>6.2E-2</v>
      </c>
      <c r="F235" s="5">
        <f t="shared" si="7"/>
        <v>8.7400000000000005E-2</v>
      </c>
      <c r="G235">
        <v>1</v>
      </c>
      <c r="H235">
        <f t="shared" si="6"/>
        <v>87.4</v>
      </c>
    </row>
    <row r="236" spans="1:8">
      <c r="A236" s="1" t="s">
        <v>36</v>
      </c>
      <c r="B236" s="1" t="s">
        <v>42</v>
      </c>
      <c r="C236" s="2" t="s">
        <v>4</v>
      </c>
      <c r="D236" s="5">
        <v>0.81279999999999997</v>
      </c>
      <c r="E236">
        <v>0.156</v>
      </c>
      <c r="F236" s="5">
        <f t="shared" si="7"/>
        <v>0.65679999999999994</v>
      </c>
      <c r="G236">
        <v>5</v>
      </c>
      <c r="H236">
        <f t="shared" si="6"/>
        <v>131.35999999999999</v>
      </c>
    </row>
    <row r="237" spans="1:8">
      <c r="A237" s="1" t="s">
        <v>36</v>
      </c>
      <c r="B237" s="1" t="s">
        <v>42</v>
      </c>
      <c r="C237" s="2" t="s">
        <v>6</v>
      </c>
      <c r="D237" s="5">
        <v>0.71209999999999996</v>
      </c>
      <c r="E237">
        <v>0.14699999999999999</v>
      </c>
      <c r="F237" s="5">
        <f t="shared" si="7"/>
        <v>0.56509999999999994</v>
      </c>
      <c r="G237">
        <v>5</v>
      </c>
      <c r="H237">
        <f t="shared" si="6"/>
        <v>113.01999999999998</v>
      </c>
    </row>
    <row r="238" spans="1:8">
      <c r="A238" s="1" t="s">
        <v>36</v>
      </c>
      <c r="B238" s="1" t="s">
        <v>42</v>
      </c>
      <c r="C238" s="2" t="s">
        <v>7</v>
      </c>
      <c r="D238" s="5">
        <v>0.66810000000000003</v>
      </c>
      <c r="E238">
        <v>0.111</v>
      </c>
      <c r="F238" s="5">
        <f t="shared" si="7"/>
        <v>0.55710000000000004</v>
      </c>
      <c r="G238">
        <v>5</v>
      </c>
      <c r="H238">
        <f t="shared" si="6"/>
        <v>111.42</v>
      </c>
    </row>
    <row r="239" spans="1:8">
      <c r="A239" s="1" t="s">
        <v>36</v>
      </c>
      <c r="B239" s="1" t="s">
        <v>42</v>
      </c>
      <c r="C239" s="2" t="s">
        <v>8</v>
      </c>
      <c r="D239" s="5">
        <v>0.4546</v>
      </c>
      <c r="E239">
        <v>5.3999999999999999E-2</v>
      </c>
      <c r="F239" s="5">
        <f t="shared" si="7"/>
        <v>0.40060000000000001</v>
      </c>
      <c r="G239">
        <v>5</v>
      </c>
      <c r="H239">
        <f t="shared" si="6"/>
        <v>80.12</v>
      </c>
    </row>
    <row r="240" spans="1:8">
      <c r="A240" s="1" t="s">
        <v>36</v>
      </c>
      <c r="B240" s="1" t="s">
        <v>42</v>
      </c>
      <c r="C240" s="2" t="s">
        <v>10</v>
      </c>
      <c r="D240" s="5">
        <v>0.80020000000000002</v>
      </c>
      <c r="E240">
        <v>6.4000000000000001E-2</v>
      </c>
      <c r="F240" s="5">
        <f t="shared" si="7"/>
        <v>0.73619999999999997</v>
      </c>
      <c r="G240">
        <v>5</v>
      </c>
      <c r="H240">
        <f t="shared" si="6"/>
        <v>147.23999999999998</v>
      </c>
    </row>
    <row r="241" spans="1:8">
      <c r="A241" s="1" t="s">
        <v>36</v>
      </c>
      <c r="B241" s="1" t="s">
        <v>42</v>
      </c>
      <c r="C241" s="2" t="s">
        <v>11</v>
      </c>
      <c r="D241" s="5">
        <v>0.34420000000000001</v>
      </c>
      <c r="E241">
        <v>4.9000000000000002E-2</v>
      </c>
      <c r="F241" s="5">
        <f t="shared" si="7"/>
        <v>0.29520000000000002</v>
      </c>
      <c r="G241">
        <v>5</v>
      </c>
      <c r="H241">
        <f t="shared" si="6"/>
        <v>59.040000000000006</v>
      </c>
    </row>
    <row r="242" spans="1:8">
      <c r="A242" s="1" t="s">
        <v>36</v>
      </c>
      <c r="B242" s="1" t="s">
        <v>42</v>
      </c>
      <c r="C242" s="2" t="s">
        <v>12</v>
      </c>
      <c r="D242" s="5">
        <v>0.79149999999999998</v>
      </c>
      <c r="E242">
        <v>0.153</v>
      </c>
      <c r="F242" s="5">
        <f t="shared" si="7"/>
        <v>0.63849999999999996</v>
      </c>
      <c r="G242">
        <v>5</v>
      </c>
      <c r="H242">
        <f t="shared" si="6"/>
        <v>127.7</v>
      </c>
    </row>
    <row r="243" spans="1:8">
      <c r="A243" s="1" t="s">
        <v>36</v>
      </c>
      <c r="B243" s="1" t="s">
        <v>42</v>
      </c>
      <c r="C243" s="2" t="s">
        <v>14</v>
      </c>
      <c r="D243" s="5">
        <v>0.55940000000000001</v>
      </c>
      <c r="E243">
        <v>0.1</v>
      </c>
      <c r="F243" s="5">
        <f t="shared" si="7"/>
        <v>0.45940000000000003</v>
      </c>
      <c r="G243">
        <v>5</v>
      </c>
      <c r="H243">
        <f t="shared" ref="H243:H289" si="8">1000*F243/G243</f>
        <v>91.88000000000001</v>
      </c>
    </row>
    <row r="244" spans="1:8">
      <c r="A244" s="1" t="s">
        <v>36</v>
      </c>
      <c r="B244" s="1" t="s">
        <v>42</v>
      </c>
      <c r="C244" s="2" t="s">
        <v>15</v>
      </c>
      <c r="D244" s="5">
        <v>0.4446</v>
      </c>
      <c r="E244">
        <v>5.6000000000000001E-2</v>
      </c>
      <c r="F244" s="5">
        <f t="shared" si="7"/>
        <v>0.3886</v>
      </c>
      <c r="G244">
        <v>5</v>
      </c>
      <c r="H244">
        <f t="shared" si="8"/>
        <v>77.72</v>
      </c>
    </row>
    <row r="245" spans="1:8">
      <c r="A245" s="1" t="s">
        <v>36</v>
      </c>
      <c r="B245" s="1" t="s">
        <v>42</v>
      </c>
      <c r="C245" s="2" t="s">
        <v>16</v>
      </c>
      <c r="D245" s="5">
        <v>0.53710000000000002</v>
      </c>
      <c r="E245">
        <v>6.7000000000000004E-2</v>
      </c>
      <c r="F245" s="5">
        <f t="shared" si="7"/>
        <v>0.47010000000000002</v>
      </c>
      <c r="G245">
        <v>5</v>
      </c>
      <c r="H245">
        <f t="shared" si="8"/>
        <v>94.02000000000001</v>
      </c>
    </row>
    <row r="246" spans="1:8">
      <c r="A246" s="1" t="s">
        <v>36</v>
      </c>
      <c r="B246" s="1" t="s">
        <v>42</v>
      </c>
      <c r="C246" s="2" t="s">
        <v>18</v>
      </c>
      <c r="D246" s="5">
        <v>0.73429999999999995</v>
      </c>
      <c r="E246">
        <v>6.6000000000000003E-2</v>
      </c>
      <c r="F246" s="5">
        <f t="shared" si="7"/>
        <v>0.66829999999999989</v>
      </c>
      <c r="G246">
        <v>5</v>
      </c>
      <c r="H246">
        <f t="shared" si="8"/>
        <v>133.65999999999997</v>
      </c>
    </row>
    <row r="247" spans="1:8">
      <c r="A247" s="1" t="s">
        <v>36</v>
      </c>
      <c r="B247" s="1" t="s">
        <v>42</v>
      </c>
      <c r="C247" s="2" t="s">
        <v>19</v>
      </c>
      <c r="D247" s="5">
        <v>0.72299999999999998</v>
      </c>
      <c r="E247">
        <v>5.8000000000000003E-2</v>
      </c>
      <c r="F247" s="5">
        <f t="shared" si="7"/>
        <v>0.66499999999999992</v>
      </c>
      <c r="G247">
        <v>5</v>
      </c>
      <c r="H247">
        <f t="shared" si="8"/>
        <v>132.99999999999997</v>
      </c>
    </row>
    <row r="248" spans="1:8">
      <c r="A248" s="1" t="s">
        <v>36</v>
      </c>
      <c r="B248" s="1" t="s">
        <v>42</v>
      </c>
      <c r="C248" s="2" t="s">
        <v>20</v>
      </c>
      <c r="D248" s="5">
        <v>0.47210000000000002</v>
      </c>
      <c r="E248">
        <v>5.6000000000000001E-2</v>
      </c>
      <c r="F248" s="5">
        <f t="shared" si="7"/>
        <v>0.41610000000000003</v>
      </c>
      <c r="G248">
        <v>5</v>
      </c>
      <c r="H248">
        <f t="shared" si="8"/>
        <v>83.22</v>
      </c>
    </row>
    <row r="249" spans="1:8">
      <c r="A249" s="1" t="s">
        <v>36</v>
      </c>
      <c r="B249" s="1" t="s">
        <v>42</v>
      </c>
      <c r="C249" s="2" t="s">
        <v>22</v>
      </c>
      <c r="D249" s="5">
        <v>0.60470000000000002</v>
      </c>
      <c r="E249">
        <v>0.05</v>
      </c>
      <c r="F249" s="5">
        <f t="shared" si="7"/>
        <v>0.55469999999999997</v>
      </c>
      <c r="G249">
        <v>5</v>
      </c>
      <c r="H249">
        <f t="shared" si="8"/>
        <v>110.93999999999998</v>
      </c>
    </row>
    <row r="250" spans="1:8">
      <c r="A250" s="1" t="s">
        <v>36</v>
      </c>
      <c r="B250" s="1" t="s">
        <v>42</v>
      </c>
      <c r="C250" s="2" t="s">
        <v>23</v>
      </c>
      <c r="D250" s="5">
        <v>0.5756</v>
      </c>
      <c r="E250">
        <v>5.3999999999999999E-2</v>
      </c>
      <c r="F250" s="5">
        <f t="shared" si="7"/>
        <v>0.52159999999999995</v>
      </c>
      <c r="G250">
        <v>5</v>
      </c>
      <c r="H250">
        <f t="shared" si="8"/>
        <v>104.31999999999998</v>
      </c>
    </row>
    <row r="251" spans="1:8">
      <c r="A251" s="1" t="s">
        <v>36</v>
      </c>
      <c r="B251" s="1" t="s">
        <v>42</v>
      </c>
      <c r="C251" s="2" t="s">
        <v>24</v>
      </c>
      <c r="D251" s="5">
        <v>0.54510000000000003</v>
      </c>
      <c r="E251">
        <v>4.7E-2</v>
      </c>
      <c r="F251" s="5">
        <f t="shared" si="7"/>
        <v>0.49810000000000004</v>
      </c>
      <c r="G251">
        <v>5</v>
      </c>
      <c r="H251">
        <f t="shared" si="8"/>
        <v>99.62</v>
      </c>
    </row>
    <row r="252" spans="1:8">
      <c r="A252" s="1" t="s">
        <v>36</v>
      </c>
      <c r="B252" s="1" t="s">
        <v>42</v>
      </c>
      <c r="C252" s="2" t="s">
        <v>26</v>
      </c>
      <c r="D252" s="5">
        <v>0.49790000000000001</v>
      </c>
      <c r="E252">
        <v>5.2999999999999999E-2</v>
      </c>
      <c r="F252" s="5">
        <f t="shared" si="7"/>
        <v>0.44490000000000002</v>
      </c>
      <c r="G252">
        <v>5</v>
      </c>
      <c r="H252">
        <f t="shared" si="8"/>
        <v>88.98</v>
      </c>
    </row>
    <row r="253" spans="1:8">
      <c r="A253" s="1" t="s">
        <v>36</v>
      </c>
      <c r="B253" s="1" t="s">
        <v>42</v>
      </c>
      <c r="C253" s="2" t="s">
        <v>27</v>
      </c>
      <c r="D253" s="5">
        <v>0.78390000000000004</v>
      </c>
      <c r="E253">
        <v>5.5E-2</v>
      </c>
      <c r="F253" s="5">
        <f t="shared" si="7"/>
        <v>0.72889999999999999</v>
      </c>
      <c r="G253">
        <v>5</v>
      </c>
      <c r="H253">
        <f t="shared" si="8"/>
        <v>145.78</v>
      </c>
    </row>
    <row r="254" spans="1:8">
      <c r="A254" s="1" t="s">
        <v>36</v>
      </c>
      <c r="B254" s="1" t="s">
        <v>43</v>
      </c>
      <c r="C254" s="2" t="s">
        <v>4</v>
      </c>
      <c r="D254" s="5">
        <v>0.1784</v>
      </c>
      <c r="E254">
        <v>0.05</v>
      </c>
      <c r="F254" s="5">
        <f t="shared" si="7"/>
        <v>0.12840000000000001</v>
      </c>
      <c r="G254">
        <v>5</v>
      </c>
      <c r="H254">
        <f t="shared" si="8"/>
        <v>25.68</v>
      </c>
    </row>
    <row r="255" spans="1:8">
      <c r="A255" s="1" t="s">
        <v>36</v>
      </c>
      <c r="B255" s="1" t="s">
        <v>43</v>
      </c>
      <c r="C255" s="2" t="s">
        <v>6</v>
      </c>
      <c r="D255" s="5">
        <v>0.16719999999999999</v>
      </c>
      <c r="E255">
        <v>5.3999999999999999E-2</v>
      </c>
      <c r="F255" s="5">
        <f t="shared" si="7"/>
        <v>0.1132</v>
      </c>
      <c r="G255">
        <v>5</v>
      </c>
      <c r="H255">
        <f t="shared" si="8"/>
        <v>22.639999999999997</v>
      </c>
    </row>
    <row r="256" spans="1:8">
      <c r="A256" s="1" t="s">
        <v>36</v>
      </c>
      <c r="B256" s="1" t="s">
        <v>43</v>
      </c>
      <c r="C256" s="2" t="s">
        <v>7</v>
      </c>
      <c r="D256" s="5">
        <v>0.54420000000000002</v>
      </c>
      <c r="E256">
        <v>6.7000000000000004E-2</v>
      </c>
      <c r="F256" s="5">
        <f t="shared" si="7"/>
        <v>0.47720000000000001</v>
      </c>
      <c r="G256">
        <v>5</v>
      </c>
      <c r="H256">
        <f t="shared" si="8"/>
        <v>95.44</v>
      </c>
    </row>
    <row r="257" spans="1:8">
      <c r="A257" s="1" t="s">
        <v>36</v>
      </c>
      <c r="B257" s="1" t="s">
        <v>43</v>
      </c>
      <c r="C257" s="2" t="s">
        <v>8</v>
      </c>
      <c r="D257" s="5">
        <v>0.26119999999999999</v>
      </c>
      <c r="E257">
        <v>4.7E-2</v>
      </c>
      <c r="F257" s="5">
        <f t="shared" si="7"/>
        <v>0.2142</v>
      </c>
      <c r="G257">
        <v>5</v>
      </c>
      <c r="H257">
        <f t="shared" si="8"/>
        <v>42.839999999999996</v>
      </c>
    </row>
    <row r="258" spans="1:8">
      <c r="A258" s="1" t="s">
        <v>36</v>
      </c>
      <c r="B258" s="1" t="s">
        <v>43</v>
      </c>
      <c r="C258" s="2" t="s">
        <v>10</v>
      </c>
      <c r="D258" s="5">
        <v>0.32750000000000001</v>
      </c>
      <c r="E258">
        <v>5.1999999999999998E-2</v>
      </c>
      <c r="F258" s="5">
        <f t="shared" si="7"/>
        <v>0.27550000000000002</v>
      </c>
      <c r="G258">
        <v>5</v>
      </c>
      <c r="H258">
        <f t="shared" si="8"/>
        <v>55.1</v>
      </c>
    </row>
    <row r="259" spans="1:8">
      <c r="A259" s="1" t="s">
        <v>36</v>
      </c>
      <c r="B259" s="1" t="s">
        <v>43</v>
      </c>
      <c r="C259" s="2" t="s">
        <v>11</v>
      </c>
      <c r="D259" s="5">
        <v>0.27450000000000002</v>
      </c>
      <c r="E259">
        <v>5.5E-2</v>
      </c>
      <c r="F259" s="5">
        <f t="shared" ref="F259:F289" si="9">D259-E259</f>
        <v>0.21950000000000003</v>
      </c>
      <c r="G259">
        <v>5</v>
      </c>
      <c r="H259">
        <f t="shared" si="8"/>
        <v>43.900000000000006</v>
      </c>
    </row>
    <row r="260" spans="1:8">
      <c r="A260" s="1" t="s">
        <v>36</v>
      </c>
      <c r="B260" s="1" t="s">
        <v>43</v>
      </c>
      <c r="C260" s="2" t="s">
        <v>12</v>
      </c>
      <c r="D260" s="5">
        <v>0.36030000000000001</v>
      </c>
      <c r="E260">
        <v>5.1999999999999998E-2</v>
      </c>
      <c r="F260" s="5">
        <f t="shared" si="9"/>
        <v>0.30830000000000002</v>
      </c>
      <c r="G260">
        <v>5</v>
      </c>
      <c r="H260">
        <f t="shared" si="8"/>
        <v>61.660000000000004</v>
      </c>
    </row>
    <row r="261" spans="1:8">
      <c r="A261" s="1" t="s">
        <v>36</v>
      </c>
      <c r="B261" s="1" t="s">
        <v>43</v>
      </c>
      <c r="C261" s="2" t="s">
        <v>14</v>
      </c>
      <c r="D261" s="5">
        <v>0.27589999999999998</v>
      </c>
      <c r="E261">
        <v>5.8000000000000003E-2</v>
      </c>
      <c r="F261" s="5">
        <f t="shared" si="9"/>
        <v>0.21789999999999998</v>
      </c>
      <c r="G261">
        <v>5</v>
      </c>
      <c r="H261">
        <f t="shared" si="8"/>
        <v>43.58</v>
      </c>
    </row>
    <row r="262" spans="1:8">
      <c r="A262" s="1" t="s">
        <v>36</v>
      </c>
      <c r="B262" s="1" t="s">
        <v>43</v>
      </c>
      <c r="C262" s="2" t="s">
        <v>15</v>
      </c>
      <c r="D262" s="5">
        <v>0.38919999999999999</v>
      </c>
      <c r="E262">
        <v>4.8000000000000001E-2</v>
      </c>
      <c r="F262" s="5">
        <f t="shared" si="9"/>
        <v>0.3412</v>
      </c>
      <c r="G262">
        <v>5</v>
      </c>
      <c r="H262">
        <f t="shared" si="8"/>
        <v>68.239999999999995</v>
      </c>
    </row>
    <row r="263" spans="1:8">
      <c r="A263" s="1" t="s">
        <v>36</v>
      </c>
      <c r="B263" s="1" t="s">
        <v>43</v>
      </c>
      <c r="C263" s="2" t="s">
        <v>16</v>
      </c>
      <c r="D263" s="5">
        <v>0.3014</v>
      </c>
      <c r="E263">
        <v>5.5E-2</v>
      </c>
      <c r="F263" s="5">
        <f t="shared" si="9"/>
        <v>0.24640000000000001</v>
      </c>
      <c r="G263">
        <v>5</v>
      </c>
      <c r="H263">
        <f t="shared" si="8"/>
        <v>49.28</v>
      </c>
    </row>
    <row r="264" spans="1:8">
      <c r="A264" s="1" t="s">
        <v>36</v>
      </c>
      <c r="B264" s="1" t="s">
        <v>43</v>
      </c>
      <c r="C264" s="2" t="s">
        <v>18</v>
      </c>
      <c r="D264" s="5">
        <v>0.30470000000000003</v>
      </c>
      <c r="E264">
        <v>5.3999999999999999E-2</v>
      </c>
      <c r="F264" s="5">
        <f t="shared" si="9"/>
        <v>0.25070000000000003</v>
      </c>
      <c r="G264">
        <v>5</v>
      </c>
      <c r="H264">
        <f t="shared" si="8"/>
        <v>50.140000000000008</v>
      </c>
    </row>
    <row r="265" spans="1:8">
      <c r="A265" s="1" t="s">
        <v>36</v>
      </c>
      <c r="B265" s="1" t="s">
        <v>43</v>
      </c>
      <c r="C265" s="2" t="s">
        <v>19</v>
      </c>
      <c r="D265" s="5">
        <v>0.52869999999999995</v>
      </c>
      <c r="E265">
        <v>0.10299999999999999</v>
      </c>
      <c r="F265" s="5">
        <f t="shared" si="9"/>
        <v>0.42569999999999997</v>
      </c>
      <c r="G265">
        <v>5</v>
      </c>
      <c r="H265">
        <f t="shared" si="8"/>
        <v>85.14</v>
      </c>
    </row>
    <row r="266" spans="1:8">
      <c r="A266" s="1" t="s">
        <v>36</v>
      </c>
      <c r="B266" s="1" t="s">
        <v>43</v>
      </c>
      <c r="C266" s="2" t="s">
        <v>20</v>
      </c>
      <c r="D266" s="5">
        <v>0.3478</v>
      </c>
      <c r="E266">
        <v>5.8999999999999997E-2</v>
      </c>
      <c r="F266" s="5">
        <f t="shared" si="9"/>
        <v>0.2888</v>
      </c>
      <c r="G266">
        <v>5</v>
      </c>
      <c r="H266">
        <f t="shared" si="8"/>
        <v>57.760000000000005</v>
      </c>
    </row>
    <row r="267" spans="1:8">
      <c r="A267" s="1" t="s">
        <v>36</v>
      </c>
      <c r="B267" s="1" t="s">
        <v>43</v>
      </c>
      <c r="C267" s="2" t="s">
        <v>22</v>
      </c>
      <c r="D267" s="5">
        <v>0.72099999999999997</v>
      </c>
      <c r="E267">
        <v>0.157</v>
      </c>
      <c r="F267" s="5">
        <f t="shared" si="9"/>
        <v>0.56399999999999995</v>
      </c>
      <c r="G267">
        <v>5</v>
      </c>
      <c r="H267">
        <f t="shared" si="8"/>
        <v>112.8</v>
      </c>
    </row>
    <row r="268" spans="1:8">
      <c r="A268" s="1" t="s">
        <v>36</v>
      </c>
      <c r="B268" s="1" t="s">
        <v>43</v>
      </c>
      <c r="C268" s="2" t="s">
        <v>23</v>
      </c>
      <c r="D268" s="5">
        <v>0.61829999999999996</v>
      </c>
      <c r="E268">
        <v>0.16</v>
      </c>
      <c r="F268" s="5">
        <f t="shared" si="9"/>
        <v>0.45829999999999993</v>
      </c>
      <c r="G268">
        <v>5</v>
      </c>
      <c r="H268">
        <f t="shared" si="8"/>
        <v>91.66</v>
      </c>
    </row>
    <row r="269" spans="1:8">
      <c r="A269" s="1" t="s">
        <v>36</v>
      </c>
      <c r="B269" s="1" t="s">
        <v>43</v>
      </c>
      <c r="C269" s="2" t="s">
        <v>24</v>
      </c>
      <c r="D269" s="5">
        <v>0.38540000000000002</v>
      </c>
      <c r="E269">
        <v>0.06</v>
      </c>
      <c r="F269" s="5">
        <f t="shared" si="9"/>
        <v>0.32540000000000002</v>
      </c>
      <c r="G269">
        <v>5</v>
      </c>
      <c r="H269">
        <f t="shared" si="8"/>
        <v>65.080000000000013</v>
      </c>
    </row>
    <row r="270" spans="1:8">
      <c r="A270" s="1" t="s">
        <v>36</v>
      </c>
      <c r="B270" s="1" t="s">
        <v>43</v>
      </c>
      <c r="C270" s="2" t="s">
        <v>26</v>
      </c>
      <c r="D270" s="5">
        <v>0.27250000000000002</v>
      </c>
      <c r="E270">
        <v>4.9000000000000002E-2</v>
      </c>
      <c r="F270" s="5">
        <f t="shared" si="9"/>
        <v>0.22350000000000003</v>
      </c>
      <c r="G270">
        <v>5</v>
      </c>
      <c r="H270">
        <f t="shared" si="8"/>
        <v>44.7</v>
      </c>
    </row>
    <row r="271" spans="1:8">
      <c r="A271" s="1" t="s">
        <v>36</v>
      </c>
      <c r="B271" s="1" t="s">
        <v>43</v>
      </c>
      <c r="C271" s="2" t="s">
        <v>27</v>
      </c>
      <c r="D271" s="5">
        <v>0.37880000000000003</v>
      </c>
      <c r="E271">
        <v>5.7000000000000002E-2</v>
      </c>
      <c r="F271" s="5">
        <f t="shared" si="9"/>
        <v>0.32180000000000003</v>
      </c>
      <c r="G271">
        <v>5</v>
      </c>
      <c r="H271">
        <f t="shared" si="8"/>
        <v>64.36</v>
      </c>
    </row>
    <row r="272" spans="1:8">
      <c r="A272" s="1" t="s">
        <v>36</v>
      </c>
      <c r="B272" s="1" t="s">
        <v>44</v>
      </c>
      <c r="C272" s="2" t="s">
        <v>4</v>
      </c>
      <c r="D272" s="5">
        <v>0.50760000000000005</v>
      </c>
      <c r="E272">
        <v>5.7000000000000002E-2</v>
      </c>
      <c r="F272" s="5">
        <f t="shared" si="9"/>
        <v>0.45060000000000006</v>
      </c>
      <c r="G272">
        <v>5</v>
      </c>
      <c r="H272">
        <f t="shared" si="8"/>
        <v>90.120000000000019</v>
      </c>
    </row>
    <row r="273" spans="1:8">
      <c r="A273" s="1" t="s">
        <v>36</v>
      </c>
      <c r="B273" s="1" t="s">
        <v>44</v>
      </c>
      <c r="C273" s="2" t="s">
        <v>6</v>
      </c>
      <c r="D273" s="5">
        <v>0.29959999999999998</v>
      </c>
      <c r="E273">
        <v>4.5999999999999999E-2</v>
      </c>
      <c r="F273" s="5">
        <f t="shared" si="9"/>
        <v>0.25359999999999999</v>
      </c>
      <c r="G273">
        <v>5</v>
      </c>
      <c r="H273">
        <f t="shared" si="8"/>
        <v>50.72</v>
      </c>
    </row>
    <row r="274" spans="1:8">
      <c r="A274" s="1" t="s">
        <v>36</v>
      </c>
      <c r="B274" s="1" t="s">
        <v>44</v>
      </c>
      <c r="C274" s="2" t="s">
        <v>7</v>
      </c>
      <c r="D274" s="5">
        <v>0.46300000000000002</v>
      </c>
      <c r="E274">
        <v>6.2E-2</v>
      </c>
      <c r="F274" s="5">
        <f t="shared" si="9"/>
        <v>0.40100000000000002</v>
      </c>
      <c r="G274">
        <v>5</v>
      </c>
      <c r="H274">
        <f t="shared" si="8"/>
        <v>80.2</v>
      </c>
    </row>
    <row r="275" spans="1:8">
      <c r="A275" s="1" t="s">
        <v>36</v>
      </c>
      <c r="B275" s="1" t="s">
        <v>44</v>
      </c>
      <c r="C275" s="2" t="s">
        <v>8</v>
      </c>
      <c r="D275" s="5">
        <v>0.44219999999999998</v>
      </c>
      <c r="E275">
        <v>6.2E-2</v>
      </c>
      <c r="F275" s="5">
        <f t="shared" si="9"/>
        <v>0.38019999999999998</v>
      </c>
      <c r="G275">
        <v>5</v>
      </c>
      <c r="H275">
        <f t="shared" si="8"/>
        <v>76.039999999999992</v>
      </c>
    </row>
    <row r="276" spans="1:8">
      <c r="A276" s="1" t="s">
        <v>36</v>
      </c>
      <c r="B276" s="1" t="s">
        <v>44</v>
      </c>
      <c r="C276" s="2" t="s">
        <v>10</v>
      </c>
      <c r="D276" s="5">
        <v>0.41599999999999998</v>
      </c>
      <c r="E276">
        <v>7.0999999999999994E-2</v>
      </c>
      <c r="F276" s="5">
        <f t="shared" si="9"/>
        <v>0.34499999999999997</v>
      </c>
      <c r="G276">
        <v>5</v>
      </c>
      <c r="H276">
        <f t="shared" si="8"/>
        <v>69</v>
      </c>
    </row>
    <row r="277" spans="1:8">
      <c r="A277" s="1" t="s">
        <v>36</v>
      </c>
      <c r="B277" s="1" t="s">
        <v>44</v>
      </c>
      <c r="C277" s="2" t="s">
        <v>11</v>
      </c>
      <c r="D277" s="5">
        <v>0.57640000000000002</v>
      </c>
      <c r="E277">
        <v>5.7000000000000002E-2</v>
      </c>
      <c r="F277" s="5">
        <f t="shared" si="9"/>
        <v>0.51939999999999997</v>
      </c>
      <c r="G277">
        <v>5</v>
      </c>
      <c r="H277">
        <f t="shared" si="8"/>
        <v>103.88</v>
      </c>
    </row>
    <row r="278" spans="1:8">
      <c r="A278" s="1" t="s">
        <v>36</v>
      </c>
      <c r="B278" s="1" t="s">
        <v>44</v>
      </c>
      <c r="C278" s="2" t="s">
        <v>12</v>
      </c>
      <c r="D278" s="5">
        <v>0.30299999999999999</v>
      </c>
      <c r="E278">
        <v>5.3999999999999999E-2</v>
      </c>
      <c r="F278" s="5">
        <f t="shared" si="9"/>
        <v>0.249</v>
      </c>
      <c r="G278">
        <v>5</v>
      </c>
      <c r="H278">
        <f t="shared" si="8"/>
        <v>49.8</v>
      </c>
    </row>
    <row r="279" spans="1:8">
      <c r="A279" s="1" t="s">
        <v>36</v>
      </c>
      <c r="B279" s="1" t="s">
        <v>44</v>
      </c>
      <c r="C279" s="2" t="s">
        <v>14</v>
      </c>
      <c r="D279" s="5">
        <v>0.36359999999999998</v>
      </c>
      <c r="E279">
        <v>4.7E-2</v>
      </c>
      <c r="F279" s="5">
        <f t="shared" si="9"/>
        <v>0.31659999999999999</v>
      </c>
      <c r="G279">
        <v>5</v>
      </c>
      <c r="H279">
        <f t="shared" si="8"/>
        <v>63.319999999999993</v>
      </c>
    </row>
    <row r="280" spans="1:8">
      <c r="A280" s="1" t="s">
        <v>36</v>
      </c>
      <c r="B280" s="1" t="s">
        <v>44</v>
      </c>
      <c r="C280" s="2" t="s">
        <v>15</v>
      </c>
      <c r="D280" s="5">
        <v>0.24929999999999999</v>
      </c>
      <c r="E280">
        <v>5.8000000000000003E-2</v>
      </c>
      <c r="F280" s="5">
        <f t="shared" si="9"/>
        <v>0.1913</v>
      </c>
      <c r="G280">
        <v>5</v>
      </c>
      <c r="H280">
        <f t="shared" si="8"/>
        <v>38.260000000000005</v>
      </c>
    </row>
    <row r="281" spans="1:8">
      <c r="A281" s="1" t="s">
        <v>36</v>
      </c>
      <c r="B281" s="1" t="s">
        <v>44</v>
      </c>
      <c r="C281" s="2" t="s">
        <v>16</v>
      </c>
      <c r="D281" s="5">
        <v>0.40029999999999999</v>
      </c>
      <c r="E281">
        <v>6.5000000000000002E-2</v>
      </c>
      <c r="F281" s="5">
        <f t="shared" si="9"/>
        <v>0.33529999999999999</v>
      </c>
      <c r="G281">
        <v>5</v>
      </c>
      <c r="H281">
        <f t="shared" si="8"/>
        <v>67.06</v>
      </c>
    </row>
    <row r="282" spans="1:8">
      <c r="A282" s="1" t="s">
        <v>36</v>
      </c>
      <c r="B282" s="1" t="s">
        <v>44</v>
      </c>
      <c r="C282" s="2" t="s">
        <v>18</v>
      </c>
      <c r="D282" s="5">
        <v>0.12620000000000001</v>
      </c>
      <c r="E282">
        <v>5.5E-2</v>
      </c>
      <c r="F282" s="5">
        <f t="shared" si="9"/>
        <v>7.1200000000000013E-2</v>
      </c>
      <c r="G282">
        <v>5</v>
      </c>
      <c r="H282">
        <f t="shared" si="8"/>
        <v>14.240000000000004</v>
      </c>
    </row>
    <row r="283" spans="1:8">
      <c r="A283" s="1" t="s">
        <v>36</v>
      </c>
      <c r="B283" s="1" t="s">
        <v>44</v>
      </c>
      <c r="C283" s="2" t="s">
        <v>19</v>
      </c>
      <c r="D283" s="5">
        <v>0.2387</v>
      </c>
      <c r="E283">
        <v>5.3999999999999999E-2</v>
      </c>
      <c r="F283" s="5">
        <f t="shared" si="9"/>
        <v>0.1847</v>
      </c>
      <c r="G283">
        <v>5</v>
      </c>
      <c r="H283">
        <f t="shared" si="8"/>
        <v>36.940000000000005</v>
      </c>
    </row>
    <row r="284" spans="1:8">
      <c r="A284" s="1" t="s">
        <v>36</v>
      </c>
      <c r="B284" s="1" t="s">
        <v>44</v>
      </c>
      <c r="C284" s="2" t="s">
        <v>20</v>
      </c>
      <c r="D284" s="5">
        <v>0.55289999999999995</v>
      </c>
      <c r="E284">
        <v>5.5E-2</v>
      </c>
      <c r="F284" s="5">
        <f t="shared" si="9"/>
        <v>0.49789999999999995</v>
      </c>
      <c r="G284">
        <v>5</v>
      </c>
      <c r="H284">
        <f t="shared" si="8"/>
        <v>99.58</v>
      </c>
    </row>
    <row r="285" spans="1:8">
      <c r="A285" s="1" t="s">
        <v>36</v>
      </c>
      <c r="B285" s="1" t="s">
        <v>44</v>
      </c>
      <c r="C285" s="2" t="s">
        <v>22</v>
      </c>
      <c r="D285" s="5">
        <v>0.29699999999999999</v>
      </c>
      <c r="E285">
        <v>6.0999999999999999E-2</v>
      </c>
      <c r="F285" s="5">
        <f t="shared" si="9"/>
        <v>0.23599999999999999</v>
      </c>
      <c r="G285">
        <v>5</v>
      </c>
      <c r="H285">
        <f t="shared" si="8"/>
        <v>47.2</v>
      </c>
    </row>
    <row r="286" spans="1:8">
      <c r="A286" s="1" t="s">
        <v>36</v>
      </c>
      <c r="B286" s="1" t="s">
        <v>44</v>
      </c>
      <c r="C286" s="2" t="s">
        <v>23</v>
      </c>
      <c r="D286" s="5">
        <v>0.41599999999999998</v>
      </c>
      <c r="E286">
        <v>4.8000000000000001E-2</v>
      </c>
      <c r="F286" s="5">
        <f t="shared" si="9"/>
        <v>0.36799999999999999</v>
      </c>
      <c r="G286">
        <v>5</v>
      </c>
      <c r="H286">
        <f t="shared" si="8"/>
        <v>73.599999999999994</v>
      </c>
    </row>
    <row r="287" spans="1:8">
      <c r="A287" s="1" t="s">
        <v>36</v>
      </c>
      <c r="B287" s="1" t="s">
        <v>44</v>
      </c>
      <c r="C287" s="2" t="s">
        <v>24</v>
      </c>
      <c r="D287" s="5">
        <v>0.31419999999999998</v>
      </c>
      <c r="E287">
        <v>5.7000000000000002E-2</v>
      </c>
      <c r="F287" s="5">
        <f t="shared" si="9"/>
        <v>0.25719999999999998</v>
      </c>
      <c r="G287">
        <v>5</v>
      </c>
      <c r="H287">
        <f t="shared" si="8"/>
        <v>51.44</v>
      </c>
    </row>
    <row r="288" spans="1:8">
      <c r="A288" s="1" t="s">
        <v>36</v>
      </c>
      <c r="B288" s="1" t="s">
        <v>44</v>
      </c>
      <c r="C288" s="2" t="s">
        <v>26</v>
      </c>
      <c r="D288" s="5">
        <v>0.317</v>
      </c>
      <c r="E288">
        <v>0.05</v>
      </c>
      <c r="F288" s="5">
        <f t="shared" si="9"/>
        <v>0.26700000000000002</v>
      </c>
      <c r="G288">
        <v>5</v>
      </c>
      <c r="H288">
        <f t="shared" si="8"/>
        <v>53.4</v>
      </c>
    </row>
    <row r="289" spans="1:8">
      <c r="A289" s="1" t="s">
        <v>36</v>
      </c>
      <c r="B289" s="1" t="s">
        <v>44</v>
      </c>
      <c r="C289" s="2" t="s">
        <v>27</v>
      </c>
      <c r="D289" s="5">
        <v>0.33810000000000001</v>
      </c>
      <c r="E289">
        <v>4.4999999999999998E-2</v>
      </c>
      <c r="F289" s="5">
        <f t="shared" si="9"/>
        <v>0.29310000000000003</v>
      </c>
      <c r="G289">
        <v>5</v>
      </c>
      <c r="H289">
        <f t="shared" si="8"/>
        <v>58.620000000000005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AED9-6686-8747-9F77-4A48F428930A}">
  <dimension ref="A1:H289"/>
  <sheetViews>
    <sheetView zoomScale="134" workbookViewId="0">
      <selection activeCell="G2" sqref="G2:G289"/>
    </sheetView>
  </sheetViews>
  <sheetFormatPr baseColWidth="10" defaultRowHeight="16"/>
  <cols>
    <col min="1" max="3" width="10.83203125" style="1"/>
    <col min="4" max="4" width="10.83203125" style="5"/>
    <col min="5" max="5" width="13.1640625" style="5" customWidth="1"/>
    <col min="6" max="6" width="10.83203125" style="5"/>
  </cols>
  <sheetData>
    <row r="1" spans="1:8">
      <c r="A1" s="1" t="s">
        <v>0</v>
      </c>
      <c r="B1" s="1" t="s">
        <v>1</v>
      </c>
      <c r="C1" s="1" t="s">
        <v>3</v>
      </c>
      <c r="D1" s="7">
        <v>532</v>
      </c>
      <c r="E1" s="7">
        <v>600</v>
      </c>
      <c r="F1" s="4" t="s">
        <v>58</v>
      </c>
      <c r="G1" s="1" t="s">
        <v>65</v>
      </c>
      <c r="H1" s="1"/>
    </row>
    <row r="2" spans="1:8">
      <c r="A2" s="1" t="s">
        <v>35</v>
      </c>
      <c r="B2" s="1" t="s">
        <v>28</v>
      </c>
      <c r="C2" s="1" t="s">
        <v>5</v>
      </c>
      <c r="D2" s="5">
        <v>1.6899999999999998E-2</v>
      </c>
      <c r="E2">
        <v>-4.3333333333332703E-4</v>
      </c>
      <c r="F2" s="5">
        <f>D2-E2</f>
        <v>1.7333333333333326E-2</v>
      </c>
      <c r="G2">
        <f>32.3*F2/0.1</f>
        <v>5.5986666666666638</v>
      </c>
    </row>
    <row r="3" spans="1:8">
      <c r="A3" s="1" t="s">
        <v>35</v>
      </c>
      <c r="B3" s="1" t="s">
        <v>28</v>
      </c>
      <c r="C3" s="1" t="s">
        <v>6</v>
      </c>
      <c r="D3" s="5">
        <v>1.6500000000000001E-2</v>
      </c>
      <c r="E3">
        <v>-5.3333333333333E-4</v>
      </c>
      <c r="F3" s="5">
        <f t="shared" ref="F3:F66" si="0">D3-E3</f>
        <v>1.7033333333333331E-2</v>
      </c>
      <c r="G3">
        <f t="shared" ref="G3:G66" si="1">32.3*F3/0.1</f>
        <v>5.5017666666666649</v>
      </c>
    </row>
    <row r="4" spans="1:8">
      <c r="A4" s="1" t="s">
        <v>35</v>
      </c>
      <c r="B4" s="1" t="s">
        <v>28</v>
      </c>
      <c r="C4" s="1" t="s">
        <v>7</v>
      </c>
      <c r="D4" s="5">
        <v>2.5499999999999998E-2</v>
      </c>
      <c r="E4">
        <v>2.6666666666667199E-4</v>
      </c>
      <c r="F4" s="5">
        <f t="shared" si="0"/>
        <v>2.5233333333333326E-2</v>
      </c>
      <c r="G4">
        <f t="shared" si="1"/>
        <v>8.1503666666666632</v>
      </c>
    </row>
    <row r="5" spans="1:8">
      <c r="A5" s="1" t="s">
        <v>35</v>
      </c>
      <c r="B5" s="1" t="s">
        <v>28</v>
      </c>
      <c r="C5" s="1" t="s">
        <v>9</v>
      </c>
      <c r="D5" s="5">
        <v>1.41E-2</v>
      </c>
      <c r="E5" s="5">
        <v>-6.3333333333332603E-4</v>
      </c>
      <c r="F5" s="5">
        <f t="shared" si="0"/>
        <v>1.4733333333333326E-2</v>
      </c>
      <c r="G5">
        <f t="shared" si="1"/>
        <v>4.7588666666666635</v>
      </c>
    </row>
    <row r="6" spans="1:8">
      <c r="A6" s="1" t="s">
        <v>35</v>
      </c>
      <c r="B6" s="1" t="s">
        <v>28</v>
      </c>
      <c r="C6" s="1" t="s">
        <v>10</v>
      </c>
      <c r="D6" s="5">
        <v>1.24E-2</v>
      </c>
      <c r="E6" s="5">
        <v>-7.33333333333329E-4</v>
      </c>
      <c r="F6" s="5">
        <f t="shared" si="0"/>
        <v>1.3133333333333328E-2</v>
      </c>
      <c r="G6">
        <f t="shared" si="1"/>
        <v>4.2420666666666644</v>
      </c>
    </row>
    <row r="7" spans="1:8">
      <c r="A7" s="1" t="s">
        <v>35</v>
      </c>
      <c r="B7" s="1" t="s">
        <v>28</v>
      </c>
      <c r="C7" s="1" t="s">
        <v>11</v>
      </c>
      <c r="D7" s="5">
        <v>2.2599999999999999E-2</v>
      </c>
      <c r="E7" s="5">
        <v>1.56666666666667E-3</v>
      </c>
      <c r="F7" s="5">
        <f t="shared" si="0"/>
        <v>2.1033333333333327E-2</v>
      </c>
      <c r="G7">
        <f t="shared" si="1"/>
        <v>6.7937666666666638</v>
      </c>
    </row>
    <row r="8" spans="1:8">
      <c r="A8" s="1" t="s">
        <v>35</v>
      </c>
      <c r="B8" s="1" t="s">
        <v>28</v>
      </c>
      <c r="C8" s="1" t="s">
        <v>13</v>
      </c>
      <c r="D8" s="5">
        <v>2.01E-2</v>
      </c>
      <c r="E8" s="5">
        <v>1.9666666666666699E-3</v>
      </c>
      <c r="F8" s="5">
        <f t="shared" si="0"/>
        <v>1.8133333333333331E-2</v>
      </c>
      <c r="G8">
        <f t="shared" si="1"/>
        <v>5.8570666666666655</v>
      </c>
    </row>
    <row r="9" spans="1:8">
      <c r="A9" s="1" t="s">
        <v>35</v>
      </c>
      <c r="B9" s="1" t="s">
        <v>28</v>
      </c>
      <c r="C9" s="1" t="s">
        <v>14</v>
      </c>
      <c r="D9" s="5">
        <v>1.6500000000000001E-2</v>
      </c>
      <c r="E9" s="5">
        <v>-2.3333333333332799E-4</v>
      </c>
      <c r="F9" s="5">
        <f t="shared" si="0"/>
        <v>1.6733333333333329E-2</v>
      </c>
      <c r="G9">
        <f t="shared" si="1"/>
        <v>5.4048666666666643</v>
      </c>
    </row>
    <row r="10" spans="1:8">
      <c r="A10" s="1" t="s">
        <v>35</v>
      </c>
      <c r="B10" s="1" t="s">
        <v>28</v>
      </c>
      <c r="C10" s="1" t="s">
        <v>15</v>
      </c>
      <c r="D10" s="5">
        <v>1.3599999999999999E-2</v>
      </c>
      <c r="E10" s="5">
        <v>9.6666666666667101E-4</v>
      </c>
      <c r="F10" s="5">
        <f t="shared" si="0"/>
        <v>1.2633333333333328E-2</v>
      </c>
      <c r="G10">
        <f t="shared" si="1"/>
        <v>4.0805666666666642</v>
      </c>
    </row>
    <row r="11" spans="1:8">
      <c r="A11" s="1" t="s">
        <v>35</v>
      </c>
      <c r="B11" s="1" t="s">
        <v>28</v>
      </c>
      <c r="C11" s="1" t="s">
        <v>17</v>
      </c>
      <c r="D11" s="5">
        <v>1.9900000000000001E-2</v>
      </c>
      <c r="E11" s="5">
        <v>-1.0333333333333299E-3</v>
      </c>
      <c r="F11" s="5">
        <f t="shared" si="0"/>
        <v>2.0933333333333332E-2</v>
      </c>
      <c r="G11">
        <f t="shared" si="1"/>
        <v>6.7614666666666654</v>
      </c>
    </row>
    <row r="12" spans="1:8">
      <c r="A12" s="1" t="s">
        <v>35</v>
      </c>
      <c r="B12" s="1" t="s">
        <v>28</v>
      </c>
      <c r="C12" s="1" t="s">
        <v>18</v>
      </c>
      <c r="D12" s="5">
        <v>1.44E-2</v>
      </c>
      <c r="E12" s="5">
        <v>-6.3333333333332603E-4</v>
      </c>
      <c r="F12" s="5">
        <f t="shared" si="0"/>
        <v>1.5033333333333326E-2</v>
      </c>
      <c r="G12">
        <f t="shared" si="1"/>
        <v>4.8557666666666632</v>
      </c>
    </row>
    <row r="13" spans="1:8">
      <c r="A13" s="1" t="s">
        <v>35</v>
      </c>
      <c r="B13" s="1" t="s">
        <v>28</v>
      </c>
      <c r="C13" s="1" t="s">
        <v>19</v>
      </c>
      <c r="D13" s="5">
        <v>1.17E-2</v>
      </c>
      <c r="E13" s="5">
        <v>-1.0333333333333299E-3</v>
      </c>
      <c r="F13" s="5">
        <f t="shared" si="0"/>
        <v>1.2733333333333331E-2</v>
      </c>
      <c r="G13">
        <f t="shared" si="1"/>
        <v>4.1128666666666653</v>
      </c>
    </row>
    <row r="14" spans="1:8">
      <c r="A14" s="1" t="s">
        <v>35</v>
      </c>
      <c r="B14" s="1" t="s">
        <v>28</v>
      </c>
      <c r="C14" s="1" t="s">
        <v>21</v>
      </c>
      <c r="D14" s="5">
        <v>1.3899999999999999E-2</v>
      </c>
      <c r="E14" s="5" t="s">
        <v>68</v>
      </c>
      <c r="F14" s="5">
        <f t="shared" si="0"/>
        <v>1.3833333333333326E-2</v>
      </c>
      <c r="G14">
        <f t="shared" si="1"/>
        <v>4.4681666666666633</v>
      </c>
    </row>
    <row r="15" spans="1:8">
      <c r="A15" s="1" t="s">
        <v>35</v>
      </c>
      <c r="B15" s="1" t="s">
        <v>28</v>
      </c>
      <c r="C15" s="1" t="s">
        <v>22</v>
      </c>
      <c r="D15" s="5">
        <v>1.7500000000000002E-2</v>
      </c>
      <c r="E15" s="5">
        <v>9.6666666666667101E-4</v>
      </c>
      <c r="F15" s="5">
        <f t="shared" si="0"/>
        <v>1.653333333333333E-2</v>
      </c>
      <c r="G15">
        <f t="shared" si="1"/>
        <v>5.3402666666666647</v>
      </c>
    </row>
    <row r="16" spans="1:8">
      <c r="A16" s="1" t="s">
        <v>35</v>
      </c>
      <c r="B16" s="1" t="s">
        <v>28</v>
      </c>
      <c r="C16" s="1" t="s">
        <v>23</v>
      </c>
      <c r="D16" s="5">
        <v>1.95E-2</v>
      </c>
      <c r="E16" s="5">
        <v>1.7666666666666701E-3</v>
      </c>
      <c r="F16" s="5">
        <f t="shared" si="0"/>
        <v>1.773333333333333E-2</v>
      </c>
      <c r="G16">
        <f t="shared" si="1"/>
        <v>5.7278666666666656</v>
      </c>
    </row>
    <row r="17" spans="1:7">
      <c r="A17" s="1" t="s">
        <v>35</v>
      </c>
      <c r="B17" s="1" t="s">
        <v>28</v>
      </c>
      <c r="C17" s="1" t="s">
        <v>25</v>
      </c>
      <c r="D17" s="5">
        <v>2.1100000000000001E-2</v>
      </c>
      <c r="E17" s="5">
        <v>1.06666666666667E-3</v>
      </c>
      <c r="F17" s="5">
        <f t="shared" si="0"/>
        <v>2.003333333333333E-2</v>
      </c>
      <c r="G17">
        <f t="shared" si="1"/>
        <v>6.4707666666666652</v>
      </c>
    </row>
    <row r="18" spans="1:7">
      <c r="A18" s="1" t="s">
        <v>35</v>
      </c>
      <c r="B18" s="1" t="s">
        <v>28</v>
      </c>
      <c r="C18" s="1" t="s">
        <v>26</v>
      </c>
      <c r="D18" s="5">
        <v>1.9800000000000002E-2</v>
      </c>
      <c r="E18" s="5">
        <v>-1.0333333333333299E-3</v>
      </c>
      <c r="F18" s="5">
        <f t="shared" si="0"/>
        <v>2.0833333333333332E-2</v>
      </c>
      <c r="G18">
        <f t="shared" si="1"/>
        <v>6.7291666666666661</v>
      </c>
    </row>
    <row r="19" spans="1:7">
      <c r="A19" s="1" t="s">
        <v>35</v>
      </c>
      <c r="B19" s="1" t="s">
        <v>28</v>
      </c>
      <c r="C19" s="1" t="s">
        <v>27</v>
      </c>
      <c r="D19" s="5">
        <v>1.5100000000000001E-2</v>
      </c>
      <c r="E19" s="5">
        <v>2.2666666666666699E-3</v>
      </c>
      <c r="F19" s="5">
        <f t="shared" si="0"/>
        <v>1.283333333333333E-2</v>
      </c>
      <c r="G19">
        <f t="shared" si="1"/>
        <v>4.1451666666666647</v>
      </c>
    </row>
    <row r="20" spans="1:7">
      <c r="A20" s="1" t="s">
        <v>35</v>
      </c>
      <c r="B20" s="1" t="s">
        <v>2</v>
      </c>
      <c r="C20" s="1" t="s">
        <v>5</v>
      </c>
      <c r="D20" s="5">
        <v>2.76E-2</v>
      </c>
      <c r="E20" s="5">
        <v>1.17666666666667E-2</v>
      </c>
      <c r="F20" s="5">
        <f t="shared" si="0"/>
        <v>1.58333333333333E-2</v>
      </c>
      <c r="G20">
        <f t="shared" si="1"/>
        <v>5.1141666666666552</v>
      </c>
    </row>
    <row r="21" spans="1:7">
      <c r="A21" s="1" t="s">
        <v>35</v>
      </c>
      <c r="B21" s="1" t="s">
        <v>2</v>
      </c>
      <c r="C21" s="1" t="s">
        <v>6</v>
      </c>
      <c r="D21" s="5">
        <v>2.53E-2</v>
      </c>
      <c r="E21" s="5">
        <v>8.4666666666666692E-3</v>
      </c>
      <c r="F21" s="5">
        <f t="shared" si="0"/>
        <v>1.6833333333333332E-2</v>
      </c>
      <c r="G21">
        <f t="shared" si="1"/>
        <v>5.4371666666666663</v>
      </c>
    </row>
    <row r="22" spans="1:7">
      <c r="A22" s="1" t="s">
        <v>35</v>
      </c>
      <c r="B22" s="1" t="s">
        <v>2</v>
      </c>
      <c r="C22" s="1" t="s">
        <v>7</v>
      </c>
      <c r="D22" s="5">
        <v>2.6100000000000002E-2</v>
      </c>
      <c r="E22" s="5">
        <v>5.6666666666666697E-3</v>
      </c>
      <c r="F22" s="5">
        <f t="shared" si="0"/>
        <v>2.0433333333333331E-2</v>
      </c>
      <c r="G22">
        <f t="shared" si="1"/>
        <v>6.5999666666666652</v>
      </c>
    </row>
    <row r="23" spans="1:7">
      <c r="A23" s="1" t="s">
        <v>35</v>
      </c>
      <c r="B23" s="1" t="s">
        <v>2</v>
      </c>
      <c r="C23" s="1" t="s">
        <v>9</v>
      </c>
      <c r="D23" s="5">
        <v>3.2300000000000002E-2</v>
      </c>
      <c r="E23" s="5">
        <v>1.1266666666666701E-2</v>
      </c>
      <c r="F23" s="5">
        <f t="shared" si="0"/>
        <v>2.10333333333333E-2</v>
      </c>
      <c r="G23">
        <f t="shared" si="1"/>
        <v>6.793766666666655</v>
      </c>
    </row>
    <row r="24" spans="1:7">
      <c r="A24" s="1" t="s">
        <v>35</v>
      </c>
      <c r="B24" s="1" t="s">
        <v>2</v>
      </c>
      <c r="C24" s="1" t="s">
        <v>10</v>
      </c>
      <c r="D24" s="5">
        <v>2.41E-2</v>
      </c>
      <c r="E24" s="5">
        <v>1.02666666666667E-2</v>
      </c>
      <c r="F24" s="5">
        <f t="shared" si="0"/>
        <v>1.38333333333333E-2</v>
      </c>
      <c r="G24">
        <f t="shared" si="1"/>
        <v>4.4681666666666553</v>
      </c>
    </row>
    <row r="25" spans="1:7">
      <c r="A25" s="1" t="s">
        <v>35</v>
      </c>
      <c r="B25" s="1" t="s">
        <v>2</v>
      </c>
      <c r="C25" s="1" t="s">
        <v>11</v>
      </c>
      <c r="D25" s="5">
        <v>5.2299999999999999E-2</v>
      </c>
      <c r="E25" s="5">
        <v>3.0366666666666702E-2</v>
      </c>
      <c r="F25" s="5">
        <f t="shared" si="0"/>
        <v>2.1933333333333298E-2</v>
      </c>
      <c r="G25">
        <f t="shared" si="1"/>
        <v>7.0844666666666543</v>
      </c>
    </row>
    <row r="26" spans="1:7">
      <c r="A26" s="1" t="s">
        <v>35</v>
      </c>
      <c r="B26" s="1" t="s">
        <v>2</v>
      </c>
      <c r="C26" s="1" t="s">
        <v>13</v>
      </c>
      <c r="D26" s="5">
        <v>3.0700000000000002E-2</v>
      </c>
      <c r="E26" s="5">
        <v>1.07666666666667E-2</v>
      </c>
      <c r="F26" s="5">
        <f t="shared" si="0"/>
        <v>1.9933333333333303E-2</v>
      </c>
      <c r="G26">
        <f t="shared" si="1"/>
        <v>6.4384666666666561</v>
      </c>
    </row>
    <row r="27" spans="1:7">
      <c r="A27" s="1" t="s">
        <v>35</v>
      </c>
      <c r="B27" s="1" t="s">
        <v>2</v>
      </c>
      <c r="C27" s="1" t="s">
        <v>14</v>
      </c>
      <c r="D27" s="5">
        <v>2.4299999999999999E-2</v>
      </c>
      <c r="E27" s="5">
        <v>2.0666666666666802E-3</v>
      </c>
      <c r="F27" s="5">
        <f t="shared" si="0"/>
        <v>2.223333333333332E-2</v>
      </c>
      <c r="G27">
        <f t="shared" si="1"/>
        <v>7.181366666666662</v>
      </c>
    </row>
    <row r="28" spans="1:7">
      <c r="A28" s="1" t="s">
        <v>35</v>
      </c>
      <c r="B28" s="1" t="s">
        <v>2</v>
      </c>
      <c r="C28" s="1" t="s">
        <v>15</v>
      </c>
      <c r="D28" s="5">
        <v>2.5000000000000001E-2</v>
      </c>
      <c r="E28" s="5">
        <v>5.2666666666666704E-3</v>
      </c>
      <c r="F28" s="5">
        <f t="shared" si="0"/>
        <v>1.9733333333333332E-2</v>
      </c>
      <c r="G28">
        <f t="shared" si="1"/>
        <v>6.3738666666666655</v>
      </c>
    </row>
    <row r="29" spans="1:7">
      <c r="A29" s="1" t="s">
        <v>35</v>
      </c>
      <c r="B29" s="1" t="s">
        <v>2</v>
      </c>
      <c r="C29" s="1" t="s">
        <v>17</v>
      </c>
      <c r="D29" s="5">
        <v>3.73E-2</v>
      </c>
      <c r="E29" s="5">
        <v>1.16666666666667E-2</v>
      </c>
      <c r="F29" s="5">
        <f t="shared" si="0"/>
        <v>2.56333333333333E-2</v>
      </c>
      <c r="G29">
        <f t="shared" si="1"/>
        <v>8.2795666666666534</v>
      </c>
    </row>
    <row r="30" spans="1:7">
      <c r="A30" s="1" t="s">
        <v>35</v>
      </c>
      <c r="B30" s="1" t="s">
        <v>2</v>
      </c>
      <c r="C30" s="1" t="s">
        <v>18</v>
      </c>
      <c r="D30" s="5">
        <v>2.5999999999999999E-2</v>
      </c>
      <c r="E30" s="5">
        <v>6.5666666666666703E-3</v>
      </c>
      <c r="F30" s="5">
        <f t="shared" si="0"/>
        <v>1.943333333333333E-2</v>
      </c>
      <c r="G30">
        <f t="shared" si="1"/>
        <v>6.2769666666666639</v>
      </c>
    </row>
    <row r="31" spans="1:7">
      <c r="A31" s="1" t="s">
        <v>35</v>
      </c>
      <c r="B31" s="1" t="s">
        <v>2</v>
      </c>
      <c r="C31" s="1" t="s">
        <v>19</v>
      </c>
      <c r="D31" s="5">
        <v>2.92E-2</v>
      </c>
      <c r="E31" s="5">
        <v>8.2666666666666704E-3</v>
      </c>
      <c r="F31" s="5">
        <f t="shared" si="0"/>
        <v>2.0933333333333332E-2</v>
      </c>
      <c r="G31">
        <f t="shared" si="1"/>
        <v>6.7614666666666654</v>
      </c>
    </row>
    <row r="32" spans="1:7">
      <c r="A32" s="1" t="s">
        <v>35</v>
      </c>
      <c r="B32" s="1" t="s">
        <v>2</v>
      </c>
      <c r="C32" s="1" t="s">
        <v>21</v>
      </c>
      <c r="D32" s="5">
        <v>2.93E-2</v>
      </c>
      <c r="E32" s="5">
        <v>5.0666666666666698E-3</v>
      </c>
      <c r="F32" s="5">
        <f t="shared" si="0"/>
        <v>2.4233333333333329E-2</v>
      </c>
      <c r="G32">
        <f t="shared" si="1"/>
        <v>7.8273666666666637</v>
      </c>
    </row>
    <row r="33" spans="1:7">
      <c r="A33" s="1" t="s">
        <v>35</v>
      </c>
      <c r="B33" s="1" t="s">
        <v>2</v>
      </c>
      <c r="C33" s="1" t="s">
        <v>22</v>
      </c>
      <c r="D33" s="5">
        <v>4.1599999999999998E-2</v>
      </c>
      <c r="E33" s="5">
        <v>1.96666666666667E-2</v>
      </c>
      <c r="F33" s="5">
        <f t="shared" si="0"/>
        <v>2.1933333333333298E-2</v>
      </c>
      <c r="G33">
        <f t="shared" si="1"/>
        <v>7.0844666666666543</v>
      </c>
    </row>
    <row r="34" spans="1:7">
      <c r="A34" s="1" t="s">
        <v>35</v>
      </c>
      <c r="B34" s="1" t="s">
        <v>2</v>
      </c>
      <c r="C34" s="1" t="s">
        <v>23</v>
      </c>
      <c r="D34" s="5">
        <v>2.3199999999999998E-2</v>
      </c>
      <c r="E34" s="5">
        <v>5.7666666666666699E-3</v>
      </c>
      <c r="F34" s="5">
        <f t="shared" si="0"/>
        <v>1.7433333333333328E-2</v>
      </c>
      <c r="G34">
        <f t="shared" si="1"/>
        <v>5.630966666666664</v>
      </c>
    </row>
    <row r="35" spans="1:7">
      <c r="A35" s="1" t="s">
        <v>35</v>
      </c>
      <c r="B35" s="1" t="s">
        <v>2</v>
      </c>
      <c r="C35" s="1" t="s">
        <v>25</v>
      </c>
      <c r="D35" s="5">
        <v>1.7899999999999999E-2</v>
      </c>
      <c r="E35" s="5">
        <v>2.5666666666666698E-3</v>
      </c>
      <c r="F35" s="5">
        <f t="shared" si="0"/>
        <v>1.5333333333333329E-2</v>
      </c>
      <c r="G35">
        <f t="shared" si="1"/>
        <v>4.9526666666666648</v>
      </c>
    </row>
    <row r="36" spans="1:7">
      <c r="A36" s="1" t="s">
        <v>35</v>
      </c>
      <c r="B36" s="1" t="s">
        <v>2</v>
      </c>
      <c r="C36" s="1" t="s">
        <v>26</v>
      </c>
      <c r="D36" s="5">
        <v>2.8199999999999999E-2</v>
      </c>
      <c r="E36" s="5">
        <v>1.0066666666666699E-2</v>
      </c>
      <c r="F36" s="5">
        <f t="shared" si="0"/>
        <v>1.81333333333333E-2</v>
      </c>
      <c r="G36">
        <f t="shared" si="1"/>
        <v>5.8570666666666549</v>
      </c>
    </row>
    <row r="37" spans="1:7">
      <c r="A37" s="1" t="s">
        <v>35</v>
      </c>
      <c r="B37" s="1" t="s">
        <v>2</v>
      </c>
      <c r="C37" s="1" t="s">
        <v>27</v>
      </c>
      <c r="D37" s="5">
        <v>2.0799999999999999E-2</v>
      </c>
      <c r="E37" s="5">
        <v>2.96666666666667E-3</v>
      </c>
      <c r="F37" s="5">
        <f t="shared" si="0"/>
        <v>1.783333333333333E-2</v>
      </c>
      <c r="G37">
        <f t="shared" si="1"/>
        <v>5.7601666666666649</v>
      </c>
    </row>
    <row r="38" spans="1:7">
      <c r="A38" s="1" t="s">
        <v>35</v>
      </c>
      <c r="B38" s="1" t="s">
        <v>29</v>
      </c>
      <c r="C38" s="1" t="s">
        <v>5</v>
      </c>
      <c r="D38" s="5">
        <v>2.0820833333333299E-2</v>
      </c>
      <c r="E38" s="5">
        <v>1.3750000000001299E-4</v>
      </c>
      <c r="F38" s="5">
        <f t="shared" si="0"/>
        <v>2.0683333333333286E-2</v>
      </c>
      <c r="G38">
        <f t="shared" si="1"/>
        <v>6.6807166666666502</v>
      </c>
    </row>
    <row r="39" spans="1:7">
      <c r="A39" s="1" t="s">
        <v>35</v>
      </c>
      <c r="B39" s="1" t="s">
        <v>29</v>
      </c>
      <c r="C39" s="1" t="s">
        <v>6</v>
      </c>
      <c r="D39" s="5">
        <v>1.40208333333333E-2</v>
      </c>
      <c r="E39" s="5">
        <v>-1.5624999999999899E-3</v>
      </c>
      <c r="F39" s="5">
        <f t="shared" si="0"/>
        <v>1.5583333333333289E-2</v>
      </c>
      <c r="G39">
        <f t="shared" si="1"/>
        <v>5.0334166666666524</v>
      </c>
    </row>
    <row r="40" spans="1:7">
      <c r="A40" s="1" t="s">
        <v>35</v>
      </c>
      <c r="B40" s="1" t="s">
        <v>29</v>
      </c>
      <c r="C40" s="1" t="s">
        <v>7</v>
      </c>
      <c r="D40" s="5">
        <v>2.5420833333333299E-2</v>
      </c>
      <c r="E40" s="5">
        <v>-9.6249999999999103E-4</v>
      </c>
      <c r="F40" s="5">
        <f t="shared" si="0"/>
        <v>2.638333333333329E-2</v>
      </c>
      <c r="G40">
        <f t="shared" si="1"/>
        <v>8.5218166666666519</v>
      </c>
    </row>
    <row r="41" spans="1:7">
      <c r="A41" s="1" t="s">
        <v>35</v>
      </c>
      <c r="B41" s="1" t="s">
        <v>29</v>
      </c>
      <c r="C41" s="1" t="s">
        <v>9</v>
      </c>
      <c r="D41" s="5">
        <v>1.51208333333333E-2</v>
      </c>
      <c r="E41" s="5">
        <v>-9.6249999999999103E-4</v>
      </c>
      <c r="F41" s="5">
        <f t="shared" si="0"/>
        <v>1.608333333333329E-2</v>
      </c>
      <c r="G41">
        <f t="shared" si="1"/>
        <v>5.1949166666666518</v>
      </c>
    </row>
    <row r="42" spans="1:7">
      <c r="A42" s="1" t="s">
        <v>35</v>
      </c>
      <c r="B42" s="1" t="s">
        <v>29</v>
      </c>
      <c r="C42" s="1" t="s">
        <v>10</v>
      </c>
      <c r="D42" s="5">
        <v>2.0920833333333302E-2</v>
      </c>
      <c r="E42" s="5">
        <v>-1.36249999999999E-3</v>
      </c>
      <c r="F42" s="5">
        <f t="shared" si="0"/>
        <v>2.228333333333329E-2</v>
      </c>
      <c r="G42">
        <f t="shared" si="1"/>
        <v>7.1975166666666519</v>
      </c>
    </row>
    <row r="43" spans="1:7">
      <c r="A43" s="1" t="s">
        <v>35</v>
      </c>
      <c r="B43" s="1" t="s">
        <v>29</v>
      </c>
      <c r="C43" s="1" t="s">
        <v>11</v>
      </c>
      <c r="D43" s="5">
        <v>1.7620833333333301E-2</v>
      </c>
      <c r="E43" s="5">
        <v>-9.6249999999999103E-4</v>
      </c>
      <c r="F43" s="5">
        <f t="shared" si="0"/>
        <v>1.8583333333333292E-2</v>
      </c>
      <c r="G43">
        <f t="shared" si="1"/>
        <v>6.0024166666666519</v>
      </c>
    </row>
    <row r="44" spans="1:7">
      <c r="A44" s="1" t="s">
        <v>35</v>
      </c>
      <c r="B44" s="1" t="s">
        <v>29</v>
      </c>
      <c r="C44" s="1" t="s">
        <v>13</v>
      </c>
      <c r="D44" s="5">
        <v>2.5320833333333299E-2</v>
      </c>
      <c r="E44" s="5">
        <v>4.2375000000000104E-3</v>
      </c>
      <c r="F44" s="5">
        <f t="shared" si="0"/>
        <v>2.1083333333333287E-2</v>
      </c>
      <c r="G44">
        <f t="shared" si="1"/>
        <v>6.8099166666666511</v>
      </c>
    </row>
    <row r="45" spans="1:7">
      <c r="A45" s="1" t="s">
        <v>35</v>
      </c>
      <c r="B45" s="1" t="s">
        <v>29</v>
      </c>
      <c r="C45" s="1" t="s">
        <v>14</v>
      </c>
      <c r="D45" s="5">
        <v>2.2020833333333299E-2</v>
      </c>
      <c r="E45" s="5">
        <v>-1.9624999999999899E-3</v>
      </c>
      <c r="F45" s="5">
        <f t="shared" si="0"/>
        <v>2.3983333333333287E-2</v>
      </c>
      <c r="G45">
        <f t="shared" si="1"/>
        <v>7.7466166666666512</v>
      </c>
    </row>
    <row r="46" spans="1:7">
      <c r="A46" s="1" t="s">
        <v>35</v>
      </c>
      <c r="B46" s="1" t="s">
        <v>29</v>
      </c>
      <c r="C46" s="1" t="s">
        <v>15</v>
      </c>
      <c r="D46" s="5">
        <v>2.3620833333333299E-2</v>
      </c>
      <c r="E46" s="5">
        <v>-5.6249999999999399E-4</v>
      </c>
      <c r="F46" s="5">
        <f t="shared" si="0"/>
        <v>2.4183333333333293E-2</v>
      </c>
      <c r="G46">
        <f t="shared" si="1"/>
        <v>7.8112166666666525</v>
      </c>
    </row>
    <row r="47" spans="1:7">
      <c r="A47" s="1" t="s">
        <v>35</v>
      </c>
      <c r="B47" s="1" t="s">
        <v>29</v>
      </c>
      <c r="C47" s="1" t="s">
        <v>17</v>
      </c>
      <c r="D47" s="5">
        <v>2.1420833333333299E-2</v>
      </c>
      <c r="E47" s="5">
        <v>1.8375000000000099E-3</v>
      </c>
      <c r="F47" s="5">
        <f t="shared" si="0"/>
        <v>1.9583333333333289E-2</v>
      </c>
      <c r="G47">
        <f t="shared" si="1"/>
        <v>6.3254166666666523</v>
      </c>
    </row>
    <row r="48" spans="1:7">
      <c r="A48" s="1" t="s">
        <v>35</v>
      </c>
      <c r="B48" s="1" t="s">
        <v>29</v>
      </c>
      <c r="C48" s="1" t="s">
        <v>18</v>
      </c>
      <c r="D48" s="5">
        <v>2.3620833333333299E-2</v>
      </c>
      <c r="E48" s="5">
        <v>-1.26249999999999E-3</v>
      </c>
      <c r="F48" s="5">
        <f t="shared" si="0"/>
        <v>2.4883333333333289E-2</v>
      </c>
      <c r="G48">
        <f t="shared" si="1"/>
        <v>8.0373166666666513</v>
      </c>
    </row>
    <row r="49" spans="1:7">
      <c r="A49" s="1" t="s">
        <v>35</v>
      </c>
      <c r="B49" s="1" t="s">
        <v>29</v>
      </c>
      <c r="C49" s="1" t="s">
        <v>19</v>
      </c>
      <c r="D49" s="5">
        <v>1.9820833333333301E-2</v>
      </c>
      <c r="E49" s="5">
        <v>-1.6624999999999899E-3</v>
      </c>
      <c r="F49" s="5">
        <f t="shared" si="0"/>
        <v>2.1483333333333292E-2</v>
      </c>
      <c r="G49">
        <f t="shared" si="1"/>
        <v>6.9391166666666519</v>
      </c>
    </row>
    <row r="50" spans="1:7">
      <c r="A50" s="1" t="s">
        <v>35</v>
      </c>
      <c r="B50" s="1" t="s">
        <v>29</v>
      </c>
      <c r="C50" s="1" t="s">
        <v>21</v>
      </c>
      <c r="D50" s="5">
        <v>1.5720833333333298E-2</v>
      </c>
      <c r="E50" s="5">
        <v>9.3750000000000799E-4</v>
      </c>
      <c r="F50" s="5">
        <f t="shared" si="0"/>
        <v>1.4783333333333291E-2</v>
      </c>
      <c r="G50">
        <f t="shared" si="1"/>
        <v>4.7750166666666525</v>
      </c>
    </row>
    <row r="51" spans="1:7">
      <c r="A51" s="1" t="s">
        <v>35</v>
      </c>
      <c r="B51" s="1" t="s">
        <v>29</v>
      </c>
      <c r="C51" s="1" t="s">
        <v>22</v>
      </c>
      <c r="D51" s="5">
        <v>1.95208333333333E-2</v>
      </c>
      <c r="E51" s="5">
        <v>4.37500000000007E-4</v>
      </c>
      <c r="F51" s="5">
        <f t="shared" si="0"/>
        <v>1.9083333333333292E-2</v>
      </c>
      <c r="G51">
        <f t="shared" si="1"/>
        <v>6.1639166666666529</v>
      </c>
    </row>
    <row r="52" spans="1:7">
      <c r="A52" s="1" t="s">
        <v>35</v>
      </c>
      <c r="B52" s="1" t="s">
        <v>29</v>
      </c>
      <c r="C52" s="1" t="s">
        <v>23</v>
      </c>
      <c r="D52" s="5">
        <v>2.1320833333333299E-2</v>
      </c>
      <c r="E52" s="5">
        <v>1.43750000000001E-3</v>
      </c>
      <c r="F52" s="5">
        <f t="shared" si="0"/>
        <v>1.9883333333333288E-2</v>
      </c>
      <c r="G52">
        <f t="shared" si="1"/>
        <v>6.4223166666666502</v>
      </c>
    </row>
    <row r="53" spans="1:7">
      <c r="A53" s="1" t="s">
        <v>35</v>
      </c>
      <c r="B53" s="1" t="s">
        <v>29</v>
      </c>
      <c r="C53" s="1" t="s">
        <v>25</v>
      </c>
      <c r="D53" s="5">
        <v>1.89208333333333E-2</v>
      </c>
      <c r="E53" s="5">
        <v>6.3750000000000601E-4</v>
      </c>
      <c r="F53" s="5">
        <f t="shared" si="0"/>
        <v>1.8283333333333294E-2</v>
      </c>
      <c r="G53">
        <f t="shared" si="1"/>
        <v>5.905516666666653</v>
      </c>
    </row>
    <row r="54" spans="1:7">
      <c r="A54" s="1" t="s">
        <v>35</v>
      </c>
      <c r="B54" s="1" t="s">
        <v>29</v>
      </c>
      <c r="C54" s="1" t="s">
        <v>26</v>
      </c>
      <c r="D54" s="5">
        <v>2.12208333333333E-2</v>
      </c>
      <c r="E54" s="5">
        <v>-2.6249999999999201E-4</v>
      </c>
      <c r="F54" s="5">
        <f t="shared" si="0"/>
        <v>2.1483333333333292E-2</v>
      </c>
      <c r="G54">
        <f t="shared" si="1"/>
        <v>6.9391166666666519</v>
      </c>
    </row>
    <row r="55" spans="1:7">
      <c r="A55" s="1" t="s">
        <v>35</v>
      </c>
      <c r="B55" s="1" t="s">
        <v>29</v>
      </c>
      <c r="C55" s="1" t="s">
        <v>27</v>
      </c>
      <c r="D55" s="5">
        <v>2.24208333333333E-2</v>
      </c>
      <c r="E55" s="5">
        <v>3.5375000000000098E-3</v>
      </c>
      <c r="F55" s="5">
        <f t="shared" si="0"/>
        <v>1.888333333333329E-2</v>
      </c>
      <c r="G55">
        <f t="shared" si="1"/>
        <v>6.0993166666666516</v>
      </c>
    </row>
    <row r="56" spans="1:7">
      <c r="A56" s="1" t="s">
        <v>35</v>
      </c>
      <c r="B56" s="1" t="s">
        <v>30</v>
      </c>
      <c r="C56" s="1" t="s">
        <v>5</v>
      </c>
      <c r="D56" s="5">
        <v>2.1620833333333301E-2</v>
      </c>
      <c r="E56" s="5">
        <v>3.3750000000001102E-4</v>
      </c>
      <c r="F56" s="5">
        <f t="shared" si="0"/>
        <v>2.128333333333329E-2</v>
      </c>
      <c r="G56">
        <f t="shared" si="1"/>
        <v>6.8745166666666524</v>
      </c>
    </row>
    <row r="57" spans="1:7">
      <c r="A57" s="1" t="s">
        <v>35</v>
      </c>
      <c r="B57" s="1" t="s">
        <v>30</v>
      </c>
      <c r="C57" s="1" t="s">
        <v>6</v>
      </c>
      <c r="D57" s="5">
        <v>2.47208333333333E-2</v>
      </c>
      <c r="E57" s="5">
        <v>3.1375000000000101E-3</v>
      </c>
      <c r="F57" s="5">
        <f t="shared" si="0"/>
        <v>2.1583333333333288E-2</v>
      </c>
      <c r="G57">
        <f t="shared" si="1"/>
        <v>6.9714166666666504</v>
      </c>
    </row>
    <row r="58" spans="1:7">
      <c r="A58" s="1" t="s">
        <v>35</v>
      </c>
      <c r="B58" s="1" t="s">
        <v>30</v>
      </c>
      <c r="C58" s="1" t="s">
        <v>7</v>
      </c>
      <c r="D58" s="5">
        <v>1.8220833333333301E-2</v>
      </c>
      <c r="E58" s="5">
        <v>-1.26249999999999E-3</v>
      </c>
      <c r="F58" s="5">
        <f t="shared" si="0"/>
        <v>1.948333333333329E-2</v>
      </c>
      <c r="G58">
        <f t="shared" si="1"/>
        <v>6.2931166666666511</v>
      </c>
    </row>
    <row r="59" spans="1:7">
      <c r="A59" s="1" t="s">
        <v>35</v>
      </c>
      <c r="B59" s="1" t="s">
        <v>30</v>
      </c>
      <c r="C59" s="1" t="s">
        <v>9</v>
      </c>
      <c r="D59" s="5">
        <v>2.7220833333333298E-2</v>
      </c>
      <c r="E59" s="5">
        <v>5.6375000000000097E-3</v>
      </c>
      <c r="F59" s="5">
        <f t="shared" si="0"/>
        <v>2.1583333333333288E-2</v>
      </c>
      <c r="G59">
        <f t="shared" si="1"/>
        <v>6.9714166666666504</v>
      </c>
    </row>
    <row r="60" spans="1:7">
      <c r="A60" s="1" t="s">
        <v>35</v>
      </c>
      <c r="B60" s="1" t="s">
        <v>30</v>
      </c>
      <c r="C60" s="1" t="s">
        <v>10</v>
      </c>
      <c r="D60" s="5">
        <v>1.84208333333333E-2</v>
      </c>
      <c r="E60" s="5">
        <v>-1.26249999999999E-3</v>
      </c>
      <c r="F60" s="5">
        <f t="shared" si="0"/>
        <v>1.9683333333333289E-2</v>
      </c>
      <c r="G60">
        <f t="shared" si="1"/>
        <v>6.3577166666666516</v>
      </c>
    </row>
    <row r="61" spans="1:7">
      <c r="A61" s="1" t="s">
        <v>35</v>
      </c>
      <c r="B61" s="1" t="s">
        <v>30</v>
      </c>
      <c r="C61" s="1" t="s">
        <v>11</v>
      </c>
      <c r="D61" s="5">
        <v>1.78208333333333E-2</v>
      </c>
      <c r="E61" s="5">
        <v>-2.6249999999999201E-4</v>
      </c>
      <c r="F61" s="5">
        <f t="shared" si="0"/>
        <v>1.8083333333333292E-2</v>
      </c>
      <c r="G61">
        <f t="shared" si="1"/>
        <v>5.8409166666666517</v>
      </c>
    </row>
    <row r="62" spans="1:7">
      <c r="A62" s="1" t="s">
        <v>35</v>
      </c>
      <c r="B62" s="1" t="s">
        <v>30</v>
      </c>
      <c r="C62" s="1" t="s">
        <v>13</v>
      </c>
      <c r="D62" s="5">
        <v>1.8720833333333301E-2</v>
      </c>
      <c r="E62" s="5">
        <v>3.3750000000001102E-4</v>
      </c>
      <c r="F62" s="5">
        <f t="shared" si="0"/>
        <v>1.838333333333329E-2</v>
      </c>
      <c r="G62">
        <f t="shared" si="1"/>
        <v>5.9378166666666514</v>
      </c>
    </row>
    <row r="63" spans="1:7">
      <c r="A63" s="1" t="s">
        <v>35</v>
      </c>
      <c r="B63" s="1" t="s">
        <v>30</v>
      </c>
      <c r="C63" s="1" t="s">
        <v>14</v>
      </c>
      <c r="D63" s="5">
        <v>2.5620833333333301E-2</v>
      </c>
      <c r="E63" s="5">
        <v>-3.6249999999998799E-4</v>
      </c>
      <c r="F63" s="5">
        <f t="shared" si="0"/>
        <v>2.5983333333333289E-2</v>
      </c>
      <c r="G63">
        <f t="shared" si="1"/>
        <v>8.3926166666666511</v>
      </c>
    </row>
    <row r="64" spans="1:7">
      <c r="A64" s="1" t="s">
        <v>35</v>
      </c>
      <c r="B64" s="1" t="s">
        <v>30</v>
      </c>
      <c r="C64" s="1" t="s">
        <v>15</v>
      </c>
      <c r="D64" s="5">
        <v>2.00208333333333E-2</v>
      </c>
      <c r="E64" s="5">
        <v>4.43750000000001E-3</v>
      </c>
      <c r="F64" s="5">
        <f t="shared" si="0"/>
        <v>1.5583333333333289E-2</v>
      </c>
      <c r="G64">
        <f t="shared" si="1"/>
        <v>5.0334166666666524</v>
      </c>
    </row>
    <row r="65" spans="1:7">
      <c r="A65" s="1" t="s">
        <v>35</v>
      </c>
      <c r="B65" s="1" t="s">
        <v>30</v>
      </c>
      <c r="C65" s="1" t="s">
        <v>17</v>
      </c>
      <c r="D65" s="5">
        <v>2.3920833333333301E-2</v>
      </c>
      <c r="E65" s="5">
        <v>1.43750000000001E-3</v>
      </c>
      <c r="F65" s="5">
        <f t="shared" si="0"/>
        <v>2.2483333333333293E-2</v>
      </c>
      <c r="G65">
        <f t="shared" si="1"/>
        <v>7.2621166666666523</v>
      </c>
    </row>
    <row r="66" spans="1:7">
      <c r="A66" s="1" t="s">
        <v>35</v>
      </c>
      <c r="B66" s="1" t="s">
        <v>30</v>
      </c>
      <c r="C66" s="1" t="s">
        <v>18</v>
      </c>
      <c r="D66" s="5">
        <v>1.7520833333333301E-2</v>
      </c>
      <c r="E66" s="5">
        <v>-2.0624999999999901E-3</v>
      </c>
      <c r="F66" s="5">
        <f t="shared" si="0"/>
        <v>1.9583333333333293E-2</v>
      </c>
      <c r="G66">
        <f t="shared" si="1"/>
        <v>6.3254166666666531</v>
      </c>
    </row>
    <row r="67" spans="1:7">
      <c r="A67" s="1" t="s">
        <v>35</v>
      </c>
      <c r="B67" s="1" t="s">
        <v>30</v>
      </c>
      <c r="C67" s="1" t="s">
        <v>19</v>
      </c>
      <c r="D67" s="5">
        <v>2.06208333333333E-2</v>
      </c>
      <c r="E67" s="5">
        <v>-1.76249999999999E-3</v>
      </c>
      <c r="F67" s="5">
        <f t="shared" ref="F67:F130" si="2">D67-E67</f>
        <v>2.238333333333329E-2</v>
      </c>
      <c r="G67">
        <f t="shared" ref="G67:G130" si="3">32.3*F67/0.1</f>
        <v>7.2298166666666512</v>
      </c>
    </row>
    <row r="68" spans="1:7">
      <c r="A68" s="1" t="s">
        <v>35</v>
      </c>
      <c r="B68" s="1" t="s">
        <v>30</v>
      </c>
      <c r="C68" s="1" t="s">
        <v>21</v>
      </c>
      <c r="D68" s="5">
        <v>2.0820833333333299E-2</v>
      </c>
      <c r="E68" s="5">
        <v>1.13750000000001E-3</v>
      </c>
      <c r="F68" s="5">
        <f t="shared" si="2"/>
        <v>1.9683333333333289E-2</v>
      </c>
      <c r="G68">
        <f t="shared" si="3"/>
        <v>6.3577166666666516</v>
      </c>
    </row>
    <row r="69" spans="1:7">
      <c r="A69" s="1" t="s">
        <v>35</v>
      </c>
      <c r="B69" s="1" t="s">
        <v>30</v>
      </c>
      <c r="C69" s="1" t="s">
        <v>22</v>
      </c>
      <c r="D69" s="5">
        <v>2.4420833333333301E-2</v>
      </c>
      <c r="E69" s="5">
        <v>3.7375000000000099E-3</v>
      </c>
      <c r="F69" s="5">
        <f t="shared" si="2"/>
        <v>2.068333333333329E-2</v>
      </c>
      <c r="G69">
        <f t="shared" si="3"/>
        <v>6.6807166666666511</v>
      </c>
    </row>
    <row r="70" spans="1:7">
      <c r="A70" s="1" t="s">
        <v>35</v>
      </c>
      <c r="B70" s="1" t="s">
        <v>30</v>
      </c>
      <c r="C70" s="1" t="s">
        <v>23</v>
      </c>
      <c r="D70" s="5">
        <v>2.40208333333333E-2</v>
      </c>
      <c r="E70" s="5">
        <v>3.1375000000000101E-3</v>
      </c>
      <c r="F70" s="5">
        <f t="shared" si="2"/>
        <v>2.0883333333333289E-2</v>
      </c>
      <c r="G70">
        <f t="shared" si="3"/>
        <v>6.7453166666666515</v>
      </c>
    </row>
    <row r="71" spans="1:7">
      <c r="A71" s="1" t="s">
        <v>35</v>
      </c>
      <c r="B71" s="1" t="s">
        <v>30</v>
      </c>
      <c r="C71" s="1" t="s">
        <v>25</v>
      </c>
      <c r="D71" s="5">
        <v>2.41208333333333E-2</v>
      </c>
      <c r="E71" s="5">
        <v>2.1375000000000101E-3</v>
      </c>
      <c r="F71" s="5">
        <f t="shared" si="2"/>
        <v>2.1983333333333289E-2</v>
      </c>
      <c r="G71">
        <f t="shared" si="3"/>
        <v>7.1006166666666513</v>
      </c>
    </row>
    <row r="72" spans="1:7">
      <c r="A72" s="1" t="s">
        <v>35</v>
      </c>
      <c r="B72" s="1" t="s">
        <v>30</v>
      </c>
      <c r="C72" s="1" t="s">
        <v>26</v>
      </c>
      <c r="D72" s="5">
        <v>1.49208333333333E-2</v>
      </c>
      <c r="E72" s="5">
        <v>-1.5624999999999899E-3</v>
      </c>
      <c r="F72" s="5">
        <f t="shared" si="2"/>
        <v>1.6483333333333291E-2</v>
      </c>
      <c r="G72">
        <f t="shared" si="3"/>
        <v>5.3241166666666526</v>
      </c>
    </row>
    <row r="73" spans="1:7">
      <c r="A73" s="1" t="s">
        <v>35</v>
      </c>
      <c r="B73" s="1" t="s">
        <v>30</v>
      </c>
      <c r="C73" s="1" t="s">
        <v>27</v>
      </c>
      <c r="D73" s="5">
        <v>1.9220833333333302E-2</v>
      </c>
      <c r="E73" s="5">
        <v>-4.6249999999999102E-4</v>
      </c>
      <c r="F73" s="5">
        <f t="shared" si="2"/>
        <v>1.9683333333333292E-2</v>
      </c>
      <c r="G73">
        <f t="shared" si="3"/>
        <v>6.3577166666666525</v>
      </c>
    </row>
    <row r="74" spans="1:7">
      <c r="A74" s="1" t="s">
        <v>35</v>
      </c>
      <c r="B74" s="1" t="s">
        <v>31</v>
      </c>
      <c r="C74" s="1" t="s">
        <v>5</v>
      </c>
      <c r="D74" s="5">
        <v>2.43666666666667E-2</v>
      </c>
      <c r="E74" s="5">
        <v>3.6874999999999998E-3</v>
      </c>
      <c r="F74" s="5">
        <f t="shared" si="2"/>
        <v>2.06791666666667E-2</v>
      </c>
      <c r="G74">
        <f t="shared" si="3"/>
        <v>6.6793708333333432</v>
      </c>
    </row>
    <row r="75" spans="1:7">
      <c r="A75" s="1" t="s">
        <v>35</v>
      </c>
      <c r="B75" s="1" t="s">
        <v>31</v>
      </c>
      <c r="C75" s="1" t="s">
        <v>6</v>
      </c>
      <c r="D75" s="5">
        <v>1.8766666666666699E-2</v>
      </c>
      <c r="E75" s="5">
        <v>3.8749999999999202E-4</v>
      </c>
      <c r="F75" s="5">
        <f t="shared" si="2"/>
        <v>1.8379166666666707E-2</v>
      </c>
      <c r="G75">
        <f t="shared" si="3"/>
        <v>5.9364708333333454</v>
      </c>
    </row>
    <row r="76" spans="1:7">
      <c r="A76" s="1" t="s">
        <v>35</v>
      </c>
      <c r="B76" s="1" t="s">
        <v>31</v>
      </c>
      <c r="C76" s="1" t="s">
        <v>7</v>
      </c>
      <c r="D76" s="5">
        <v>1.6366666666666699E-2</v>
      </c>
      <c r="E76" s="5">
        <v>3.4875000000000001E-3</v>
      </c>
      <c r="F76" s="5">
        <f t="shared" si="2"/>
        <v>1.2879166666666698E-2</v>
      </c>
      <c r="G76">
        <f t="shared" si="3"/>
        <v>4.1599708333333432</v>
      </c>
    </row>
    <row r="77" spans="1:7">
      <c r="A77" s="1" t="s">
        <v>35</v>
      </c>
      <c r="B77" s="1" t="s">
        <v>31</v>
      </c>
      <c r="C77" s="1" t="s">
        <v>9</v>
      </c>
      <c r="D77" s="5">
        <v>1.8866666666666702E-2</v>
      </c>
      <c r="E77" s="5">
        <v>1.7875E-3</v>
      </c>
      <c r="F77" s="5">
        <f t="shared" si="2"/>
        <v>1.7079166666666701E-2</v>
      </c>
      <c r="G77">
        <f t="shared" si="3"/>
        <v>5.5165708333333434</v>
      </c>
    </row>
    <row r="78" spans="1:7">
      <c r="A78" s="1" t="s">
        <v>35</v>
      </c>
      <c r="B78" s="1" t="s">
        <v>31</v>
      </c>
      <c r="C78" s="1" t="s">
        <v>10</v>
      </c>
      <c r="D78" s="5">
        <v>1.7066666666666699E-2</v>
      </c>
      <c r="E78" s="5">
        <v>2.4875000000000001E-3</v>
      </c>
      <c r="F78" s="5">
        <f t="shared" si="2"/>
        <v>1.4579166666666699E-2</v>
      </c>
      <c r="G78">
        <f t="shared" si="3"/>
        <v>4.7090708333333424</v>
      </c>
    </row>
    <row r="79" spans="1:7">
      <c r="A79" s="1" t="s">
        <v>35</v>
      </c>
      <c r="B79" s="1" t="s">
        <v>31</v>
      </c>
      <c r="C79" s="1" t="s">
        <v>11</v>
      </c>
      <c r="D79" s="5">
        <v>1.6966666666666699E-2</v>
      </c>
      <c r="E79" s="5">
        <v>3.2874999999999901E-3</v>
      </c>
      <c r="F79" s="5">
        <f t="shared" si="2"/>
        <v>1.3679166666666709E-2</v>
      </c>
      <c r="G79">
        <f t="shared" si="3"/>
        <v>4.4183708333333467</v>
      </c>
    </row>
    <row r="80" spans="1:7">
      <c r="A80" s="1" t="s">
        <v>35</v>
      </c>
      <c r="B80" s="1" t="s">
        <v>31</v>
      </c>
      <c r="C80" s="1" t="s">
        <v>13</v>
      </c>
      <c r="D80" s="5">
        <v>1.73666666666667E-2</v>
      </c>
      <c r="E80" s="5">
        <v>1.3874999999999901E-3</v>
      </c>
      <c r="F80" s="5">
        <f t="shared" si="2"/>
        <v>1.5979166666666711E-2</v>
      </c>
      <c r="G80">
        <f t="shared" si="3"/>
        <v>5.1612708333333464</v>
      </c>
    </row>
    <row r="81" spans="1:7">
      <c r="A81" s="1" t="s">
        <v>35</v>
      </c>
      <c r="B81" s="1" t="s">
        <v>31</v>
      </c>
      <c r="C81" s="1" t="s">
        <v>14</v>
      </c>
      <c r="D81" s="5">
        <v>1.73666666666667E-2</v>
      </c>
      <c r="E81" s="5">
        <v>-9.1250000000000402E-4</v>
      </c>
      <c r="F81" s="5">
        <f t="shared" si="2"/>
        <v>1.8279166666666704E-2</v>
      </c>
      <c r="G81">
        <f t="shared" si="3"/>
        <v>5.9041708333333451</v>
      </c>
    </row>
    <row r="82" spans="1:7">
      <c r="A82" s="1" t="s">
        <v>35</v>
      </c>
      <c r="B82" s="1" t="s">
        <v>31</v>
      </c>
      <c r="C82" s="1" t="s">
        <v>15</v>
      </c>
      <c r="D82" s="5">
        <v>3.85666666666667E-2</v>
      </c>
      <c r="E82" s="5">
        <v>1.4875000000000001E-3</v>
      </c>
      <c r="F82" s="5">
        <f t="shared" si="2"/>
        <v>3.7079166666666698E-2</v>
      </c>
      <c r="G82">
        <f t="shared" si="3"/>
        <v>11.976570833333341</v>
      </c>
    </row>
    <row r="83" spans="1:7">
      <c r="A83" s="1" t="s">
        <v>35</v>
      </c>
      <c r="B83" s="1" t="s">
        <v>31</v>
      </c>
      <c r="C83" s="1" t="s">
        <v>17</v>
      </c>
      <c r="D83" s="5">
        <v>1.9366666666666699E-2</v>
      </c>
      <c r="E83" s="5">
        <v>1.2875E-3</v>
      </c>
      <c r="F83" s="5">
        <f t="shared" si="2"/>
        <v>1.8079166666666698E-2</v>
      </c>
      <c r="G83">
        <f t="shared" si="3"/>
        <v>5.8395708333333429</v>
      </c>
    </row>
    <row r="84" spans="1:7">
      <c r="A84" s="1" t="s">
        <v>35</v>
      </c>
      <c r="B84" s="1" t="s">
        <v>31</v>
      </c>
      <c r="C84" s="1" t="s">
        <v>18</v>
      </c>
      <c r="D84" s="5">
        <v>2.03666666666667E-2</v>
      </c>
      <c r="E84" s="5">
        <v>2.1875000000000002E-3</v>
      </c>
      <c r="F84" s="5">
        <f t="shared" si="2"/>
        <v>1.8179166666666698E-2</v>
      </c>
      <c r="G84">
        <f t="shared" si="3"/>
        <v>5.8718708333333423</v>
      </c>
    </row>
    <row r="85" spans="1:7">
      <c r="A85" s="1" t="s">
        <v>35</v>
      </c>
      <c r="B85" s="1" t="s">
        <v>31</v>
      </c>
      <c r="C85" s="1" t="s">
        <v>19</v>
      </c>
      <c r="D85" s="5">
        <v>2.1266666666666701E-2</v>
      </c>
      <c r="E85" s="5">
        <v>6.87499999999994E-4</v>
      </c>
      <c r="F85" s="5">
        <f t="shared" si="2"/>
        <v>2.0579166666666707E-2</v>
      </c>
      <c r="G85">
        <f t="shared" si="3"/>
        <v>6.6470708333333457</v>
      </c>
    </row>
    <row r="86" spans="1:7">
      <c r="A86" s="1" t="s">
        <v>35</v>
      </c>
      <c r="B86" s="1" t="s">
        <v>31</v>
      </c>
      <c r="C86" s="1" t="s">
        <v>21</v>
      </c>
      <c r="D86" s="5">
        <v>2.71666666666667E-2</v>
      </c>
      <c r="E86" s="5">
        <v>2.2875E-3</v>
      </c>
      <c r="F86" s="5">
        <f t="shared" si="2"/>
        <v>2.4879166666666699E-2</v>
      </c>
      <c r="G86">
        <f t="shared" si="3"/>
        <v>8.0359708333333426</v>
      </c>
    </row>
    <row r="87" spans="1:7">
      <c r="A87" s="1" t="s">
        <v>35</v>
      </c>
      <c r="B87" s="1" t="s">
        <v>31</v>
      </c>
      <c r="C87" s="1" t="s">
        <v>22</v>
      </c>
      <c r="D87" s="5">
        <v>2.60666666666667E-2</v>
      </c>
      <c r="E87" s="5">
        <v>3.1874999999999998E-3</v>
      </c>
      <c r="F87" s="5">
        <f t="shared" si="2"/>
        <v>2.28791666666667E-2</v>
      </c>
      <c r="G87">
        <f t="shared" si="3"/>
        <v>7.3899708333333436</v>
      </c>
    </row>
    <row r="88" spans="1:7">
      <c r="A88" s="1" t="s">
        <v>35</v>
      </c>
      <c r="B88" s="1" t="s">
        <v>31</v>
      </c>
      <c r="C88" s="1" t="s">
        <v>23</v>
      </c>
      <c r="D88" s="5">
        <v>2.7566666666666701E-2</v>
      </c>
      <c r="E88" s="5">
        <v>2.1875000000000002E-3</v>
      </c>
      <c r="F88" s="5">
        <f t="shared" si="2"/>
        <v>2.5379166666666703E-2</v>
      </c>
      <c r="G88">
        <f t="shared" si="3"/>
        <v>8.1974708333333446</v>
      </c>
    </row>
    <row r="89" spans="1:7">
      <c r="A89" s="1" t="s">
        <v>35</v>
      </c>
      <c r="B89" s="1" t="s">
        <v>31</v>
      </c>
      <c r="C89" s="1" t="s">
        <v>25</v>
      </c>
      <c r="D89" s="5">
        <v>1.6166666666666701E-2</v>
      </c>
      <c r="E89" s="5">
        <v>-5.1250000000000601E-4</v>
      </c>
      <c r="F89" s="5">
        <f t="shared" si="2"/>
        <v>1.6679166666666707E-2</v>
      </c>
      <c r="G89">
        <f t="shared" si="3"/>
        <v>5.3873708333333452</v>
      </c>
    </row>
    <row r="90" spans="1:7">
      <c r="A90" s="1" t="s">
        <v>35</v>
      </c>
      <c r="B90" s="1" t="s">
        <v>31</v>
      </c>
      <c r="C90" s="1" t="s">
        <v>26</v>
      </c>
      <c r="D90" s="5">
        <v>4.0066666666666702E-2</v>
      </c>
      <c r="E90" s="5">
        <v>1.85875E-2</v>
      </c>
      <c r="F90" s="5">
        <f t="shared" si="2"/>
        <v>2.1479166666666702E-2</v>
      </c>
      <c r="G90">
        <f t="shared" si="3"/>
        <v>6.9377708333333441</v>
      </c>
    </row>
    <row r="91" spans="1:7">
      <c r="A91" s="1" t="s">
        <v>35</v>
      </c>
      <c r="B91" s="1" t="s">
        <v>31</v>
      </c>
      <c r="C91" s="1" t="s">
        <v>27</v>
      </c>
      <c r="D91" s="5">
        <v>1.68666666666667E-2</v>
      </c>
      <c r="E91" s="5">
        <v>1.9875000000000001E-3</v>
      </c>
      <c r="F91" s="5">
        <f t="shared" si="2"/>
        <v>1.48791666666667E-2</v>
      </c>
      <c r="G91">
        <f t="shared" si="3"/>
        <v>4.805970833333344</v>
      </c>
    </row>
    <row r="92" spans="1:7">
      <c r="A92" s="1" t="s">
        <v>35</v>
      </c>
      <c r="B92" s="1" t="s">
        <v>32</v>
      </c>
      <c r="C92" s="2" t="s">
        <v>4</v>
      </c>
      <c r="D92" s="5">
        <v>1.9966666666666699E-2</v>
      </c>
      <c r="E92" s="5">
        <v>2.2875E-3</v>
      </c>
      <c r="F92" s="5">
        <f t="shared" si="2"/>
        <v>1.7679166666666697E-2</v>
      </c>
      <c r="G92">
        <f t="shared" si="3"/>
        <v>5.7103708333333421</v>
      </c>
    </row>
    <row r="93" spans="1:7">
      <c r="A93" s="1" t="s">
        <v>35</v>
      </c>
      <c r="B93" s="1" t="s">
        <v>32</v>
      </c>
      <c r="C93" s="2" t="s">
        <v>6</v>
      </c>
      <c r="D93" s="5">
        <v>1.9966666666666699E-2</v>
      </c>
      <c r="E93" s="5">
        <v>6.87499999999994E-4</v>
      </c>
      <c r="F93" s="5">
        <f t="shared" si="2"/>
        <v>1.9279166666666705E-2</v>
      </c>
      <c r="G93">
        <f t="shared" si="3"/>
        <v>6.2271708333333446</v>
      </c>
    </row>
    <row r="94" spans="1:7">
      <c r="A94" s="1" t="s">
        <v>35</v>
      </c>
      <c r="B94" s="1" t="s">
        <v>32</v>
      </c>
      <c r="C94" s="2" t="s">
        <v>7</v>
      </c>
      <c r="D94" s="5">
        <v>1.96666666666667E-2</v>
      </c>
      <c r="E94" s="5" t="s">
        <v>69</v>
      </c>
      <c r="F94" s="5">
        <f t="shared" si="2"/>
        <v>1.9579166666666703E-2</v>
      </c>
      <c r="G94">
        <f t="shared" si="3"/>
        <v>6.3240708333333435</v>
      </c>
    </row>
    <row r="95" spans="1:7">
      <c r="A95" s="1" t="s">
        <v>35</v>
      </c>
      <c r="B95" s="1" t="s">
        <v>32</v>
      </c>
      <c r="C95" s="2" t="s">
        <v>8</v>
      </c>
      <c r="D95" s="5">
        <v>2.31666666666667E-2</v>
      </c>
      <c r="E95" s="5">
        <v>-1.0125000000000099E-3</v>
      </c>
      <c r="F95" s="5">
        <f t="shared" si="2"/>
        <v>2.417916666666671E-2</v>
      </c>
      <c r="G95">
        <f t="shared" si="3"/>
        <v>7.8098708333333464</v>
      </c>
    </row>
    <row r="96" spans="1:7">
      <c r="A96" s="1" t="s">
        <v>35</v>
      </c>
      <c r="B96" s="1" t="s">
        <v>32</v>
      </c>
      <c r="C96" s="2" t="s">
        <v>10</v>
      </c>
      <c r="D96" s="5">
        <v>2.3466666666666702E-2</v>
      </c>
      <c r="E96" s="5">
        <v>2.8874999999999899E-3</v>
      </c>
      <c r="F96" s="5">
        <f t="shared" si="2"/>
        <v>2.0579166666666711E-2</v>
      </c>
      <c r="G96">
        <f t="shared" si="3"/>
        <v>6.6470708333333466</v>
      </c>
    </row>
    <row r="97" spans="1:7">
      <c r="A97" s="1" t="s">
        <v>35</v>
      </c>
      <c r="B97" s="1" t="s">
        <v>32</v>
      </c>
      <c r="C97" s="2" t="s">
        <v>11</v>
      </c>
      <c r="D97" s="5">
        <v>2.4466666666666699E-2</v>
      </c>
      <c r="E97" s="5">
        <v>2.4875000000000001E-3</v>
      </c>
      <c r="F97" s="5">
        <f t="shared" si="2"/>
        <v>2.1979166666666699E-2</v>
      </c>
      <c r="G97">
        <f t="shared" si="3"/>
        <v>7.0992708333333425</v>
      </c>
    </row>
    <row r="98" spans="1:7">
      <c r="A98" s="1" t="s">
        <v>35</v>
      </c>
      <c r="B98" s="1" t="s">
        <v>32</v>
      </c>
      <c r="C98" s="2" t="s">
        <v>12</v>
      </c>
      <c r="D98" s="5">
        <v>2.6166666666666699E-2</v>
      </c>
      <c r="E98" s="5">
        <v>2.8874999999999899E-3</v>
      </c>
      <c r="F98" s="5">
        <f t="shared" si="2"/>
        <v>2.3279166666666708E-2</v>
      </c>
      <c r="G98">
        <f t="shared" si="3"/>
        <v>7.5191708333333462</v>
      </c>
    </row>
    <row r="99" spans="1:7">
      <c r="A99" s="1" t="s">
        <v>35</v>
      </c>
      <c r="B99" s="1" t="s">
        <v>32</v>
      </c>
      <c r="C99" s="2" t="s">
        <v>14</v>
      </c>
      <c r="D99" s="5">
        <v>2.36666666666667E-2</v>
      </c>
      <c r="E99" s="5">
        <v>2.6874999999999998E-3</v>
      </c>
      <c r="F99" s="5">
        <f t="shared" si="2"/>
        <v>2.0979166666666701E-2</v>
      </c>
      <c r="G99">
        <f t="shared" si="3"/>
        <v>6.7762708333333439</v>
      </c>
    </row>
    <row r="100" spans="1:7">
      <c r="A100" s="1" t="s">
        <v>35</v>
      </c>
      <c r="B100" s="1" t="s">
        <v>32</v>
      </c>
      <c r="C100" s="2" t="s">
        <v>15</v>
      </c>
      <c r="D100" s="5">
        <v>2.9166666666666698E-2</v>
      </c>
      <c r="E100" s="5">
        <v>1.0874999999999999E-3</v>
      </c>
      <c r="F100" s="5">
        <f t="shared" si="2"/>
        <v>2.8079166666666697E-2</v>
      </c>
      <c r="G100">
        <f t="shared" si="3"/>
        <v>9.0695708333333425</v>
      </c>
    </row>
    <row r="101" spans="1:7">
      <c r="A101" s="1" t="s">
        <v>35</v>
      </c>
      <c r="B101" s="1" t="s">
        <v>32</v>
      </c>
      <c r="C101" s="2" t="s">
        <v>16</v>
      </c>
      <c r="D101" s="5">
        <v>3.1966666666666699E-2</v>
      </c>
      <c r="E101" s="5">
        <v>8.2874999999999997E-3</v>
      </c>
      <c r="F101" s="5">
        <f t="shared" si="2"/>
        <v>2.3679166666666699E-2</v>
      </c>
      <c r="G101">
        <f t="shared" si="3"/>
        <v>7.6483708333333427</v>
      </c>
    </row>
    <row r="102" spans="1:7">
      <c r="A102" s="1" t="s">
        <v>35</v>
      </c>
      <c r="B102" s="1" t="s">
        <v>32</v>
      </c>
      <c r="C102" s="2" t="s">
        <v>18</v>
      </c>
      <c r="D102" s="5">
        <v>2.25666666666667E-2</v>
      </c>
      <c r="E102" s="5">
        <v>4.8875000000000004E-3</v>
      </c>
      <c r="F102" s="5">
        <f t="shared" si="2"/>
        <v>1.7679166666666701E-2</v>
      </c>
      <c r="G102">
        <f t="shared" si="3"/>
        <v>5.7103708333333429</v>
      </c>
    </row>
    <row r="103" spans="1:7">
      <c r="A103" s="1" t="s">
        <v>35</v>
      </c>
      <c r="B103" s="1" t="s">
        <v>32</v>
      </c>
      <c r="C103" s="2" t="s">
        <v>19</v>
      </c>
      <c r="D103" s="5">
        <v>3.3966666666666701E-2</v>
      </c>
      <c r="E103" s="5">
        <v>4.8875000000000004E-3</v>
      </c>
      <c r="F103" s="5">
        <f t="shared" si="2"/>
        <v>2.9079166666666701E-2</v>
      </c>
      <c r="G103">
        <f t="shared" si="3"/>
        <v>9.3925708333333429</v>
      </c>
    </row>
    <row r="104" spans="1:7">
      <c r="A104" s="1" t="s">
        <v>35</v>
      </c>
      <c r="B104" s="1" t="s">
        <v>32</v>
      </c>
      <c r="C104" s="2" t="s">
        <v>20</v>
      </c>
      <c r="D104" s="5">
        <v>2.4766666666666701E-2</v>
      </c>
      <c r="E104" s="5">
        <v>3.4875000000000001E-3</v>
      </c>
      <c r="F104" s="5">
        <f t="shared" si="2"/>
        <v>2.12791666666667E-2</v>
      </c>
      <c r="G104">
        <f t="shared" si="3"/>
        <v>6.8731708333333428</v>
      </c>
    </row>
    <row r="105" spans="1:7">
      <c r="A105" s="1" t="s">
        <v>35</v>
      </c>
      <c r="B105" s="1" t="s">
        <v>32</v>
      </c>
      <c r="C105" s="2" t="s">
        <v>22</v>
      </c>
      <c r="D105" s="5">
        <v>2.48666666666667E-2</v>
      </c>
      <c r="E105" s="5">
        <v>2.8749999999999598E-4</v>
      </c>
      <c r="F105" s="5">
        <f t="shared" si="2"/>
        <v>2.4579166666666704E-2</v>
      </c>
      <c r="G105">
        <f t="shared" si="3"/>
        <v>7.9390708333333446</v>
      </c>
    </row>
    <row r="106" spans="1:7">
      <c r="A106" s="1" t="s">
        <v>35</v>
      </c>
      <c r="B106" s="1" t="s">
        <v>32</v>
      </c>
      <c r="C106" s="2" t="s">
        <v>23</v>
      </c>
      <c r="D106" s="5">
        <v>2.9766666666666702E-2</v>
      </c>
      <c r="E106" s="5">
        <v>2.6874999999999998E-3</v>
      </c>
      <c r="F106" s="5">
        <f t="shared" si="2"/>
        <v>2.7079166666666703E-2</v>
      </c>
      <c r="G106">
        <f t="shared" si="3"/>
        <v>8.7465708333333438</v>
      </c>
    </row>
    <row r="107" spans="1:7">
      <c r="A107" s="1" t="s">
        <v>35</v>
      </c>
      <c r="B107" s="1" t="s">
        <v>32</v>
      </c>
      <c r="C107" s="2" t="s">
        <v>24</v>
      </c>
      <c r="D107" s="5">
        <v>2.65666666666667E-2</v>
      </c>
      <c r="E107" s="5">
        <v>1.8874999999999901E-3</v>
      </c>
      <c r="F107" s="5">
        <f t="shared" si="2"/>
        <v>2.467916666666671E-2</v>
      </c>
      <c r="G107">
        <f t="shared" si="3"/>
        <v>7.9713708333333466</v>
      </c>
    </row>
    <row r="108" spans="1:7">
      <c r="A108" s="1" t="s">
        <v>35</v>
      </c>
      <c r="B108" s="1" t="s">
        <v>32</v>
      </c>
      <c r="C108" s="2" t="s">
        <v>26</v>
      </c>
      <c r="D108" s="5">
        <v>2.1266666666666701E-2</v>
      </c>
      <c r="E108" s="5">
        <v>7.8749999999999697E-4</v>
      </c>
      <c r="F108" s="5">
        <f t="shared" si="2"/>
        <v>2.0479166666666705E-2</v>
      </c>
      <c r="G108">
        <f t="shared" si="3"/>
        <v>6.6147708333333455</v>
      </c>
    </row>
    <row r="109" spans="1:7">
      <c r="A109" s="1" t="s">
        <v>35</v>
      </c>
      <c r="B109" s="1" t="s">
        <v>32</v>
      </c>
      <c r="C109" s="2" t="s">
        <v>27</v>
      </c>
      <c r="D109" s="5">
        <v>2.2866666666666698E-2</v>
      </c>
      <c r="E109" s="5">
        <v>1.2875E-3</v>
      </c>
      <c r="F109" s="5">
        <f t="shared" si="2"/>
        <v>2.1579166666666698E-2</v>
      </c>
      <c r="G109">
        <f t="shared" si="3"/>
        <v>6.9700708333333425</v>
      </c>
    </row>
    <row r="110" spans="1:7">
      <c r="A110" s="1" t="s">
        <v>35</v>
      </c>
      <c r="B110" s="1" t="s">
        <v>33</v>
      </c>
      <c r="C110" s="2" t="s">
        <v>4</v>
      </c>
      <c r="D110" s="5">
        <v>2.0983333333333298E-2</v>
      </c>
      <c r="E110" s="5">
        <v>3.5208333333333298E-3</v>
      </c>
      <c r="F110" s="5">
        <f t="shared" si="2"/>
        <v>1.7462499999999968E-2</v>
      </c>
      <c r="G110">
        <f t="shared" si="3"/>
        <v>5.6403874999999886</v>
      </c>
    </row>
    <row r="111" spans="1:7">
      <c r="A111" s="1" t="s">
        <v>35</v>
      </c>
      <c r="B111" s="1" t="s">
        <v>33</v>
      </c>
      <c r="C111" s="2" t="s">
        <v>6</v>
      </c>
      <c r="D111" s="5">
        <v>2.1083333333333301E-2</v>
      </c>
      <c r="E111" s="5">
        <v>4.1208333333333296E-3</v>
      </c>
      <c r="F111" s="5">
        <f t="shared" si="2"/>
        <v>1.6962499999999971E-2</v>
      </c>
      <c r="G111">
        <f t="shared" si="3"/>
        <v>5.4788874999999901</v>
      </c>
    </row>
    <row r="112" spans="1:7">
      <c r="A112" s="1" t="s">
        <v>35</v>
      </c>
      <c r="B112" s="1" t="s">
        <v>33</v>
      </c>
      <c r="C112" s="2" t="s">
        <v>7</v>
      </c>
      <c r="D112" s="5">
        <v>2.4483333333333301E-2</v>
      </c>
      <c r="E112" s="5">
        <v>7.1208333333333297E-3</v>
      </c>
      <c r="F112" s="5">
        <f t="shared" si="2"/>
        <v>1.7362499999999972E-2</v>
      </c>
      <c r="G112">
        <f t="shared" si="3"/>
        <v>5.6080874999999901</v>
      </c>
    </row>
    <row r="113" spans="1:7">
      <c r="A113" s="1" t="s">
        <v>35</v>
      </c>
      <c r="B113" s="1" t="s">
        <v>33</v>
      </c>
      <c r="C113" s="2" t="s">
        <v>8</v>
      </c>
      <c r="D113" s="5">
        <v>1.9383333333333301E-2</v>
      </c>
      <c r="E113" s="5">
        <v>3.7208333333333299E-3</v>
      </c>
      <c r="F113" s="5">
        <f t="shared" si="2"/>
        <v>1.5662499999999972E-2</v>
      </c>
      <c r="G113">
        <f t="shared" si="3"/>
        <v>5.05898749999999</v>
      </c>
    </row>
    <row r="114" spans="1:7">
      <c r="A114" s="1" t="s">
        <v>35</v>
      </c>
      <c r="B114" s="1" t="s">
        <v>33</v>
      </c>
      <c r="C114" s="2" t="s">
        <v>10</v>
      </c>
      <c r="D114" s="5">
        <v>2.2083333333333299E-2</v>
      </c>
      <c r="E114" s="5">
        <v>6.1208333333333297E-3</v>
      </c>
      <c r="F114" s="5">
        <f t="shared" si="2"/>
        <v>1.596249999999997E-2</v>
      </c>
      <c r="G114">
        <f t="shared" si="3"/>
        <v>5.1558874999999889</v>
      </c>
    </row>
    <row r="115" spans="1:7">
      <c r="A115" s="1" t="s">
        <v>35</v>
      </c>
      <c r="B115" s="1" t="s">
        <v>33</v>
      </c>
      <c r="C115" s="2" t="s">
        <v>11</v>
      </c>
      <c r="D115" s="5">
        <v>2.4483333333333301E-2</v>
      </c>
      <c r="E115" s="5">
        <v>3.92083333333333E-3</v>
      </c>
      <c r="F115" s="5">
        <f t="shared" si="2"/>
        <v>2.056249999999997E-2</v>
      </c>
      <c r="G115">
        <f t="shared" si="3"/>
        <v>6.6416874999999891</v>
      </c>
    </row>
    <row r="116" spans="1:7">
      <c r="A116" s="1" t="s">
        <v>35</v>
      </c>
      <c r="B116" s="1" t="s">
        <v>33</v>
      </c>
      <c r="C116" s="2" t="s">
        <v>12</v>
      </c>
      <c r="D116" s="5">
        <v>3.1683333333333299E-2</v>
      </c>
      <c r="E116" s="5">
        <v>6.6208333333333301E-3</v>
      </c>
      <c r="F116" s="5">
        <f t="shared" si="2"/>
        <v>2.506249999999997E-2</v>
      </c>
      <c r="G116">
        <f t="shared" si="3"/>
        <v>8.0951874999999891</v>
      </c>
    </row>
    <row r="117" spans="1:7">
      <c r="A117" s="1" t="s">
        <v>35</v>
      </c>
      <c r="B117" s="1" t="s">
        <v>33</v>
      </c>
      <c r="C117" s="2" t="s">
        <v>14</v>
      </c>
      <c r="D117" s="5">
        <v>2.35833333333333E-2</v>
      </c>
      <c r="E117" s="5">
        <v>5.2208333333333299E-3</v>
      </c>
      <c r="F117" s="5">
        <f t="shared" si="2"/>
        <v>1.8362499999999969E-2</v>
      </c>
      <c r="G117">
        <f t="shared" si="3"/>
        <v>5.9310874999999896</v>
      </c>
    </row>
    <row r="118" spans="1:7">
      <c r="A118" s="1" t="s">
        <v>35</v>
      </c>
      <c r="B118" s="1" t="s">
        <v>33</v>
      </c>
      <c r="C118" s="2" t="s">
        <v>15</v>
      </c>
      <c r="D118" s="5">
        <v>2.3483333333333301E-2</v>
      </c>
      <c r="E118" s="5">
        <v>5.3208333333333302E-3</v>
      </c>
      <c r="F118" s="5">
        <f t="shared" si="2"/>
        <v>1.816249999999997E-2</v>
      </c>
      <c r="G118">
        <f t="shared" si="3"/>
        <v>5.8664874999999892</v>
      </c>
    </row>
    <row r="119" spans="1:7">
      <c r="A119" s="1" t="s">
        <v>35</v>
      </c>
      <c r="B119" s="1" t="s">
        <v>33</v>
      </c>
      <c r="C119" s="2" t="s">
        <v>16</v>
      </c>
      <c r="D119" s="5">
        <v>2.0883333333333299E-2</v>
      </c>
      <c r="E119" s="5">
        <v>3.42083333333333E-3</v>
      </c>
      <c r="F119" s="5">
        <f t="shared" si="2"/>
        <v>1.7462499999999968E-2</v>
      </c>
      <c r="G119">
        <f t="shared" si="3"/>
        <v>5.6403874999999886</v>
      </c>
    </row>
    <row r="120" spans="1:7">
      <c r="A120" s="1" t="s">
        <v>35</v>
      </c>
      <c r="B120" s="1" t="s">
        <v>33</v>
      </c>
      <c r="C120" s="2" t="s">
        <v>18</v>
      </c>
      <c r="D120" s="5">
        <v>4.0283333333333303E-2</v>
      </c>
      <c r="E120" s="5">
        <v>1.1320833333333301E-2</v>
      </c>
      <c r="F120" s="5">
        <f t="shared" si="2"/>
        <v>2.8962500000000002E-2</v>
      </c>
      <c r="G120">
        <f t="shared" si="3"/>
        <v>9.3548874999999985</v>
      </c>
    </row>
    <row r="121" spans="1:7">
      <c r="A121" s="1" t="s">
        <v>35</v>
      </c>
      <c r="B121" s="1" t="s">
        <v>33</v>
      </c>
      <c r="C121" s="2" t="s">
        <v>19</v>
      </c>
      <c r="D121" s="5">
        <v>2.2683333333333298E-2</v>
      </c>
      <c r="E121" s="5">
        <v>3.8208333333333302E-3</v>
      </c>
      <c r="F121" s="5">
        <f t="shared" si="2"/>
        <v>1.886249999999997E-2</v>
      </c>
      <c r="G121">
        <f t="shared" si="3"/>
        <v>6.0925874999999889</v>
      </c>
    </row>
    <row r="122" spans="1:7">
      <c r="A122" s="1" t="s">
        <v>35</v>
      </c>
      <c r="B122" s="1" t="s">
        <v>33</v>
      </c>
      <c r="C122" s="2" t="s">
        <v>20</v>
      </c>
      <c r="D122" s="5">
        <v>2.7683333333333299E-2</v>
      </c>
      <c r="E122" s="5">
        <v>5.2208333333333299E-3</v>
      </c>
      <c r="F122" s="5">
        <f t="shared" si="2"/>
        <v>2.2462499999999969E-2</v>
      </c>
      <c r="G122">
        <f t="shared" si="3"/>
        <v>7.2553874999999888</v>
      </c>
    </row>
    <row r="123" spans="1:7">
      <c r="A123" s="1" t="s">
        <v>35</v>
      </c>
      <c r="B123" s="1" t="s">
        <v>33</v>
      </c>
      <c r="C123" s="2" t="s">
        <v>22</v>
      </c>
      <c r="D123" s="5">
        <v>2.3183333333333299E-2</v>
      </c>
      <c r="E123" s="5">
        <v>6.22083333333333E-3</v>
      </c>
      <c r="F123" s="5">
        <f t="shared" si="2"/>
        <v>1.6962499999999971E-2</v>
      </c>
      <c r="G123">
        <f t="shared" si="3"/>
        <v>5.4788874999999901</v>
      </c>
    </row>
    <row r="124" spans="1:7">
      <c r="A124" s="1" t="s">
        <v>35</v>
      </c>
      <c r="B124" s="1" t="s">
        <v>33</v>
      </c>
      <c r="C124" s="2" t="s">
        <v>23</v>
      </c>
      <c r="D124" s="5">
        <v>1.6383333333333298E-2</v>
      </c>
      <c r="E124" s="5">
        <v>4.0208333333333303E-3</v>
      </c>
      <c r="F124" s="5">
        <f t="shared" si="2"/>
        <v>1.2362499999999967E-2</v>
      </c>
      <c r="G124">
        <f t="shared" si="3"/>
        <v>3.9930874999999886</v>
      </c>
    </row>
    <row r="125" spans="1:7">
      <c r="A125" s="1" t="s">
        <v>35</v>
      </c>
      <c r="B125" s="1" t="s">
        <v>33</v>
      </c>
      <c r="C125" s="2" t="s">
        <v>24</v>
      </c>
      <c r="D125" s="5">
        <v>4.0583333333333298E-2</v>
      </c>
      <c r="E125" s="5">
        <v>1.4420833333333299E-2</v>
      </c>
      <c r="F125" s="5">
        <f t="shared" si="2"/>
        <v>2.6162499999999998E-2</v>
      </c>
      <c r="G125">
        <f t="shared" si="3"/>
        <v>8.4504874999999977</v>
      </c>
    </row>
    <row r="126" spans="1:7">
      <c r="A126" s="1" t="s">
        <v>35</v>
      </c>
      <c r="B126" s="1" t="s">
        <v>33</v>
      </c>
      <c r="C126" s="2" t="s">
        <v>26</v>
      </c>
      <c r="D126" s="5">
        <v>2.58833333333333E-2</v>
      </c>
      <c r="E126" s="5">
        <v>8.1208333333333306E-3</v>
      </c>
      <c r="F126" s="5">
        <f t="shared" si="2"/>
        <v>1.7762499999999969E-2</v>
      </c>
      <c r="G126">
        <f t="shared" si="3"/>
        <v>5.7372874999999901</v>
      </c>
    </row>
    <row r="127" spans="1:7">
      <c r="A127" s="1" t="s">
        <v>35</v>
      </c>
      <c r="B127" s="1" t="s">
        <v>33</v>
      </c>
      <c r="C127" s="2" t="s">
        <v>27</v>
      </c>
      <c r="D127" s="5">
        <v>2.4983333333333298E-2</v>
      </c>
      <c r="E127" s="5">
        <v>5.6208333333333301E-3</v>
      </c>
      <c r="F127" s="5">
        <f t="shared" si="2"/>
        <v>1.936249999999997E-2</v>
      </c>
      <c r="G127">
        <f t="shared" si="3"/>
        <v>6.2540874999999891</v>
      </c>
    </row>
    <row r="128" spans="1:7">
      <c r="A128" s="1" t="s">
        <v>35</v>
      </c>
      <c r="B128" s="1" t="s">
        <v>34</v>
      </c>
      <c r="C128" s="2" t="s">
        <v>4</v>
      </c>
      <c r="D128" s="5">
        <v>3.4983333333333297E-2</v>
      </c>
      <c r="E128" s="5">
        <v>5.2208333333333299E-3</v>
      </c>
      <c r="F128" s="5">
        <f t="shared" si="2"/>
        <v>2.9762499999999966E-2</v>
      </c>
      <c r="G128">
        <f t="shared" si="3"/>
        <v>9.6132874999999878</v>
      </c>
    </row>
    <row r="129" spans="1:7">
      <c r="A129" s="1" t="s">
        <v>35</v>
      </c>
      <c r="B129" s="1" t="s">
        <v>34</v>
      </c>
      <c r="C129" s="2" t="s">
        <v>6</v>
      </c>
      <c r="D129" s="5">
        <v>2.3783333333333299E-2</v>
      </c>
      <c r="E129" s="5">
        <v>5.3208333333333302E-3</v>
      </c>
      <c r="F129" s="5">
        <f t="shared" si="2"/>
        <v>1.8462499999999969E-2</v>
      </c>
      <c r="G129">
        <f t="shared" si="3"/>
        <v>5.963387499999989</v>
      </c>
    </row>
    <row r="130" spans="1:7">
      <c r="A130" s="1" t="s">
        <v>35</v>
      </c>
      <c r="B130" s="1" t="s">
        <v>34</v>
      </c>
      <c r="C130" s="2" t="s">
        <v>7</v>
      </c>
      <c r="D130" s="5">
        <v>2.3183333333333299E-2</v>
      </c>
      <c r="E130" s="5">
        <v>4.7208333333333304E-3</v>
      </c>
      <c r="F130" s="5">
        <f t="shared" si="2"/>
        <v>1.8462499999999969E-2</v>
      </c>
      <c r="G130">
        <f t="shared" si="3"/>
        <v>5.963387499999989</v>
      </c>
    </row>
    <row r="131" spans="1:7">
      <c r="A131" s="1" t="s">
        <v>35</v>
      </c>
      <c r="B131" s="1" t="s">
        <v>34</v>
      </c>
      <c r="C131" s="2" t="s">
        <v>8</v>
      </c>
      <c r="D131" s="5">
        <v>1.9983333333333301E-2</v>
      </c>
      <c r="E131" s="5">
        <v>5.2208333333333299E-3</v>
      </c>
      <c r="F131" s="5">
        <f t="shared" ref="F131:F194" si="4">D131-E131</f>
        <v>1.476249999999997E-2</v>
      </c>
      <c r="G131">
        <f t="shared" ref="G131:G194" si="5">32.3*F131/0.1</f>
        <v>4.7682874999999898</v>
      </c>
    </row>
    <row r="132" spans="1:7">
      <c r="A132" s="1" t="s">
        <v>35</v>
      </c>
      <c r="B132" s="1" t="s">
        <v>34</v>
      </c>
      <c r="C132" s="2" t="s">
        <v>10</v>
      </c>
      <c r="D132" s="5">
        <v>2.5583333333333302E-2</v>
      </c>
      <c r="E132" s="5">
        <v>3.3208333333333302E-3</v>
      </c>
      <c r="F132" s="5">
        <f t="shared" si="4"/>
        <v>2.226249999999997E-2</v>
      </c>
      <c r="G132">
        <f t="shared" si="5"/>
        <v>7.1907874999999892</v>
      </c>
    </row>
    <row r="133" spans="1:7">
      <c r="A133" s="1" t="s">
        <v>35</v>
      </c>
      <c r="B133" s="1" t="s">
        <v>34</v>
      </c>
      <c r="C133" s="2" t="s">
        <v>11</v>
      </c>
      <c r="D133" s="5">
        <v>2.1083333333333301E-2</v>
      </c>
      <c r="E133" s="5">
        <v>2.92083333333333E-3</v>
      </c>
      <c r="F133" s="5">
        <f t="shared" si="4"/>
        <v>1.816249999999997E-2</v>
      </c>
      <c r="G133">
        <f t="shared" si="5"/>
        <v>5.8664874999999892</v>
      </c>
    </row>
    <row r="134" spans="1:7">
      <c r="A134" s="1" t="s">
        <v>35</v>
      </c>
      <c r="B134" s="1" t="s">
        <v>34</v>
      </c>
      <c r="C134" s="2" t="s">
        <v>12</v>
      </c>
      <c r="D134" s="5">
        <v>3.0883333333333301E-2</v>
      </c>
      <c r="E134" s="5">
        <v>1.1320833333333301E-2</v>
      </c>
      <c r="F134" s="5">
        <f t="shared" si="4"/>
        <v>1.95625E-2</v>
      </c>
      <c r="G134">
        <f t="shared" si="5"/>
        <v>6.3186874999999993</v>
      </c>
    </row>
    <row r="135" spans="1:7">
      <c r="A135" s="1" t="s">
        <v>35</v>
      </c>
      <c r="B135" s="1" t="s">
        <v>34</v>
      </c>
      <c r="C135" s="2" t="s">
        <v>14</v>
      </c>
      <c r="D135" s="5">
        <v>1.8583333333333299E-2</v>
      </c>
      <c r="E135" s="5">
        <v>3.2208333333333299E-3</v>
      </c>
      <c r="F135" s="5">
        <f t="shared" si="4"/>
        <v>1.536249999999997E-2</v>
      </c>
      <c r="G135">
        <f t="shared" si="5"/>
        <v>4.9620874999999893</v>
      </c>
    </row>
    <row r="136" spans="1:7">
      <c r="A136" s="1" t="s">
        <v>35</v>
      </c>
      <c r="B136" s="1" t="s">
        <v>34</v>
      </c>
      <c r="C136" s="2" t="s">
        <v>15</v>
      </c>
      <c r="D136" s="5">
        <v>2.9683333333333301E-2</v>
      </c>
      <c r="E136" s="5">
        <v>7.3208333333333302E-3</v>
      </c>
      <c r="F136" s="5">
        <f t="shared" si="4"/>
        <v>2.2362499999999973E-2</v>
      </c>
      <c r="G136">
        <f t="shared" si="5"/>
        <v>7.2230874999999903</v>
      </c>
    </row>
    <row r="137" spans="1:7">
      <c r="A137" s="1" t="s">
        <v>35</v>
      </c>
      <c r="B137" s="1" t="s">
        <v>34</v>
      </c>
      <c r="C137" s="2" t="s">
        <v>16</v>
      </c>
      <c r="D137" s="5">
        <v>2.3083333333333299E-2</v>
      </c>
      <c r="E137" s="5">
        <v>4.92083333333333E-3</v>
      </c>
      <c r="F137" s="5">
        <f t="shared" si="4"/>
        <v>1.816249999999997E-2</v>
      </c>
      <c r="G137">
        <f t="shared" si="5"/>
        <v>5.8664874999999892</v>
      </c>
    </row>
    <row r="138" spans="1:7">
      <c r="A138" s="1" t="s">
        <v>35</v>
      </c>
      <c r="B138" s="1" t="s">
        <v>34</v>
      </c>
      <c r="C138" s="2" t="s">
        <v>18</v>
      </c>
      <c r="D138" s="5">
        <v>1.7983333333333299E-2</v>
      </c>
      <c r="E138" s="5">
        <v>3.8208333333333302E-3</v>
      </c>
      <c r="F138" s="5">
        <f t="shared" si="4"/>
        <v>1.4162499999999969E-2</v>
      </c>
      <c r="G138">
        <f t="shared" si="5"/>
        <v>4.5744874999999894</v>
      </c>
    </row>
    <row r="139" spans="1:7">
      <c r="A139" s="1" t="s">
        <v>35</v>
      </c>
      <c r="B139" s="1" t="s">
        <v>34</v>
      </c>
      <c r="C139" s="2" t="s">
        <v>19</v>
      </c>
      <c r="D139" s="5">
        <v>2.2283333333333301E-2</v>
      </c>
      <c r="E139" s="5">
        <v>4.1208333333333296E-3</v>
      </c>
      <c r="F139" s="5">
        <f t="shared" si="4"/>
        <v>1.816249999999997E-2</v>
      </c>
      <c r="G139">
        <f t="shared" si="5"/>
        <v>5.8664874999999892</v>
      </c>
    </row>
    <row r="140" spans="1:7">
      <c r="A140" s="1" t="s">
        <v>35</v>
      </c>
      <c r="B140" s="1" t="s">
        <v>34</v>
      </c>
      <c r="C140" s="2" t="s">
        <v>20</v>
      </c>
      <c r="D140" s="5">
        <v>2.3183333333333299E-2</v>
      </c>
      <c r="E140" s="5">
        <v>4.4208333333333296E-3</v>
      </c>
      <c r="F140" s="5">
        <f t="shared" si="4"/>
        <v>1.876249999999997E-2</v>
      </c>
      <c r="G140">
        <f t="shared" si="5"/>
        <v>6.0602874999999896</v>
      </c>
    </row>
    <row r="141" spans="1:7">
      <c r="A141" s="1" t="s">
        <v>35</v>
      </c>
      <c r="B141" s="1" t="s">
        <v>34</v>
      </c>
      <c r="C141" s="2" t="s">
        <v>22</v>
      </c>
      <c r="D141" s="5">
        <v>2.4383333333333299E-2</v>
      </c>
      <c r="E141" s="5">
        <v>5.0208333333333303E-3</v>
      </c>
      <c r="F141" s="5">
        <f t="shared" si="4"/>
        <v>1.936249999999997E-2</v>
      </c>
      <c r="G141">
        <f t="shared" si="5"/>
        <v>6.2540874999999891</v>
      </c>
    </row>
    <row r="142" spans="1:7">
      <c r="A142" s="1" t="s">
        <v>35</v>
      </c>
      <c r="B142" s="1" t="s">
        <v>34</v>
      </c>
      <c r="C142" s="2" t="s">
        <v>23</v>
      </c>
      <c r="D142" s="5">
        <v>2.52833333333333E-2</v>
      </c>
      <c r="E142" s="5">
        <v>5.2208333333333299E-3</v>
      </c>
      <c r="F142" s="5">
        <f t="shared" si="4"/>
        <v>2.0062499999999969E-2</v>
      </c>
      <c r="G142">
        <f t="shared" si="5"/>
        <v>6.4801874999999898</v>
      </c>
    </row>
    <row r="143" spans="1:7">
      <c r="A143" s="1" t="s">
        <v>35</v>
      </c>
      <c r="B143" s="1" t="s">
        <v>34</v>
      </c>
      <c r="C143" s="2" t="s">
        <v>24</v>
      </c>
      <c r="D143" s="5">
        <v>1.8583333333333299E-2</v>
      </c>
      <c r="E143" s="5">
        <v>3.2208333333333299E-3</v>
      </c>
      <c r="F143" s="5">
        <f t="shared" si="4"/>
        <v>1.536249999999997E-2</v>
      </c>
      <c r="G143">
        <f t="shared" si="5"/>
        <v>4.9620874999999893</v>
      </c>
    </row>
    <row r="144" spans="1:7">
      <c r="A144" s="1" t="s">
        <v>35</v>
      </c>
      <c r="B144" s="1" t="s">
        <v>34</v>
      </c>
      <c r="C144" s="2" t="s">
        <v>26</v>
      </c>
      <c r="D144" s="5">
        <v>1.71833333333333E-2</v>
      </c>
      <c r="E144" s="5">
        <v>4.4208333333333296E-3</v>
      </c>
      <c r="F144" s="5">
        <f t="shared" si="4"/>
        <v>1.2762499999999972E-2</v>
      </c>
      <c r="G144">
        <f t="shared" si="5"/>
        <v>4.1222874999999899</v>
      </c>
    </row>
    <row r="145" spans="1:7">
      <c r="A145" s="1" t="s">
        <v>35</v>
      </c>
      <c r="B145" s="1" t="s">
        <v>34</v>
      </c>
      <c r="C145" s="2" t="s">
        <v>27</v>
      </c>
      <c r="D145" s="5">
        <v>2.1483333333333299E-2</v>
      </c>
      <c r="E145" s="5">
        <v>3.1208333333333301E-3</v>
      </c>
      <c r="F145" s="5">
        <f t="shared" si="4"/>
        <v>1.8362499999999969E-2</v>
      </c>
      <c r="G145">
        <f t="shared" si="5"/>
        <v>5.9310874999999896</v>
      </c>
    </row>
    <row r="146" spans="1:7">
      <c r="A146" s="1" t="s">
        <v>36</v>
      </c>
      <c r="B146" s="1" t="s">
        <v>37</v>
      </c>
      <c r="C146" s="2" t="s">
        <v>4</v>
      </c>
      <c r="D146" s="5">
        <v>2.46E-2</v>
      </c>
      <c r="E146" s="5">
        <v>4.1666666666666701E-3</v>
      </c>
      <c r="F146" s="5">
        <f t="shared" si="4"/>
        <v>2.0433333333333331E-2</v>
      </c>
      <c r="G146">
        <f t="shared" si="5"/>
        <v>6.5999666666666652</v>
      </c>
    </row>
    <row r="147" spans="1:7">
      <c r="A147" s="1" t="s">
        <v>36</v>
      </c>
      <c r="B147" s="1" t="s">
        <v>37</v>
      </c>
      <c r="C147" s="2" t="s">
        <v>6</v>
      </c>
      <c r="D147" s="5">
        <v>1.47E-2</v>
      </c>
      <c r="E147" s="5" t="s">
        <v>68</v>
      </c>
      <c r="F147" s="5">
        <f t="shared" si="4"/>
        <v>1.4633333333333326E-2</v>
      </c>
      <c r="G147">
        <f t="shared" si="5"/>
        <v>4.7265666666666633</v>
      </c>
    </row>
    <row r="148" spans="1:7">
      <c r="A148" s="1" t="s">
        <v>36</v>
      </c>
      <c r="B148" s="1" t="s">
        <v>37</v>
      </c>
      <c r="C148" s="2" t="s">
        <v>7</v>
      </c>
      <c r="D148" s="5">
        <v>1.7399999999999999E-2</v>
      </c>
      <c r="E148" s="5">
        <v>1.2666666666666701E-3</v>
      </c>
      <c r="F148" s="5">
        <f t="shared" si="4"/>
        <v>1.6133333333333329E-2</v>
      </c>
      <c r="G148">
        <f t="shared" si="5"/>
        <v>5.2110666666666647</v>
      </c>
    </row>
    <row r="149" spans="1:7">
      <c r="A149" s="1" t="s">
        <v>36</v>
      </c>
      <c r="B149" s="1" t="s">
        <v>37</v>
      </c>
      <c r="C149" s="2" t="s">
        <v>8</v>
      </c>
      <c r="D149" s="5">
        <v>1.6299999999999999E-2</v>
      </c>
      <c r="E149" s="5">
        <v>6.6666666666667001E-4</v>
      </c>
      <c r="F149" s="5">
        <f t="shared" si="4"/>
        <v>1.5633333333333329E-2</v>
      </c>
      <c r="G149">
        <f t="shared" si="5"/>
        <v>5.0495666666666645</v>
      </c>
    </row>
    <row r="150" spans="1:7">
      <c r="A150" s="1" t="s">
        <v>36</v>
      </c>
      <c r="B150" s="1" t="s">
        <v>37</v>
      </c>
      <c r="C150" s="2" t="s">
        <v>10</v>
      </c>
      <c r="D150" s="5">
        <v>1.61E-2</v>
      </c>
      <c r="E150" s="5">
        <v>2.6666666666667199E-4</v>
      </c>
      <c r="F150" s="5">
        <f t="shared" si="4"/>
        <v>1.5833333333333328E-2</v>
      </c>
      <c r="G150">
        <f t="shared" si="5"/>
        <v>5.1141666666666641</v>
      </c>
    </row>
    <row r="151" spans="1:7">
      <c r="A151" s="1" t="s">
        <v>36</v>
      </c>
      <c r="B151" s="1" t="s">
        <v>37</v>
      </c>
      <c r="C151" s="2" t="s">
        <v>11</v>
      </c>
      <c r="D151" s="5">
        <v>1.84E-2</v>
      </c>
      <c r="E151" s="5">
        <v>3.46666666666667E-3</v>
      </c>
      <c r="F151" s="5">
        <f t="shared" si="4"/>
        <v>1.493333333333333E-2</v>
      </c>
      <c r="G151">
        <f t="shared" si="5"/>
        <v>4.8234666666666648</v>
      </c>
    </row>
    <row r="152" spans="1:7">
      <c r="A152" s="1" t="s">
        <v>36</v>
      </c>
      <c r="B152" s="1" t="s">
        <v>37</v>
      </c>
      <c r="C152" s="2" t="s">
        <v>12</v>
      </c>
      <c r="D152" s="5">
        <v>1.7600000000000001E-2</v>
      </c>
      <c r="E152" s="5">
        <v>5.4666666666666804E-3</v>
      </c>
      <c r="F152" s="5">
        <f t="shared" si="4"/>
        <v>1.2133333333333321E-2</v>
      </c>
      <c r="G152">
        <f t="shared" si="5"/>
        <v>3.9190666666666623</v>
      </c>
    </row>
    <row r="153" spans="1:7">
      <c r="A153" s="1" t="s">
        <v>36</v>
      </c>
      <c r="B153" s="1" t="s">
        <v>37</v>
      </c>
      <c r="C153" s="2" t="s">
        <v>14</v>
      </c>
      <c r="D153" s="5">
        <v>3.4099999999999998E-2</v>
      </c>
      <c r="E153" s="5">
        <v>1.17666666666667E-2</v>
      </c>
      <c r="F153" s="5">
        <f t="shared" si="4"/>
        <v>2.2333333333333299E-2</v>
      </c>
      <c r="G153">
        <f t="shared" si="5"/>
        <v>7.2136666666666542</v>
      </c>
    </row>
    <row r="154" spans="1:7">
      <c r="A154" s="1" t="s">
        <v>36</v>
      </c>
      <c r="B154" s="1" t="s">
        <v>37</v>
      </c>
      <c r="C154" s="2" t="s">
        <v>15</v>
      </c>
      <c r="D154" s="5">
        <v>2.7799999999999998E-2</v>
      </c>
      <c r="E154" s="5">
        <v>9.9666666666666705E-3</v>
      </c>
      <c r="F154" s="5">
        <f t="shared" si="4"/>
        <v>1.7833333333333326E-2</v>
      </c>
      <c r="G154">
        <f t="shared" si="5"/>
        <v>5.760166666666664</v>
      </c>
    </row>
    <row r="155" spans="1:7">
      <c r="A155" s="1" t="s">
        <v>36</v>
      </c>
      <c r="B155" s="1" t="s">
        <v>37</v>
      </c>
      <c r="C155" s="2" t="s">
        <v>16</v>
      </c>
      <c r="D155" s="5">
        <v>1.9800000000000002E-2</v>
      </c>
      <c r="E155" s="5">
        <v>5.7666666666666699E-3</v>
      </c>
      <c r="F155" s="5">
        <f t="shared" si="4"/>
        <v>1.4033333333333332E-2</v>
      </c>
      <c r="G155">
        <f t="shared" si="5"/>
        <v>4.5327666666666655</v>
      </c>
    </row>
    <row r="156" spans="1:7">
      <c r="A156" s="1" t="s">
        <v>36</v>
      </c>
      <c r="B156" s="1" t="s">
        <v>37</v>
      </c>
      <c r="C156" s="2" t="s">
        <v>18</v>
      </c>
      <c r="D156" s="5">
        <v>1.9599999999999999E-2</v>
      </c>
      <c r="E156" s="5">
        <v>6.76666666666667E-3</v>
      </c>
      <c r="F156" s="5">
        <f t="shared" si="4"/>
        <v>1.2833333333333329E-2</v>
      </c>
      <c r="G156">
        <f t="shared" si="5"/>
        <v>4.1451666666666647</v>
      </c>
    </row>
    <row r="157" spans="1:7">
      <c r="A157" s="1" t="s">
        <v>36</v>
      </c>
      <c r="B157" s="1" t="s">
        <v>37</v>
      </c>
      <c r="C157" s="2" t="s">
        <v>19</v>
      </c>
      <c r="D157" s="5">
        <v>1.55E-2</v>
      </c>
      <c r="E157" s="5">
        <v>4.3666666666666697E-3</v>
      </c>
      <c r="F157" s="5">
        <f t="shared" si="4"/>
        <v>1.113333333333333E-2</v>
      </c>
      <c r="G157">
        <f t="shared" si="5"/>
        <v>3.596066666666665</v>
      </c>
    </row>
    <row r="158" spans="1:7">
      <c r="A158" s="1" t="s">
        <v>36</v>
      </c>
      <c r="B158" s="1" t="s">
        <v>37</v>
      </c>
      <c r="C158" s="2" t="s">
        <v>20</v>
      </c>
      <c r="D158" s="5">
        <v>1.8100000000000002E-2</v>
      </c>
      <c r="E158" s="5">
        <v>4.2666666666666703E-3</v>
      </c>
      <c r="F158" s="5">
        <f t="shared" si="4"/>
        <v>1.3833333333333331E-2</v>
      </c>
      <c r="G158">
        <f t="shared" si="5"/>
        <v>4.468166666666666</v>
      </c>
    </row>
    <row r="159" spans="1:7">
      <c r="A159" s="1" t="s">
        <v>36</v>
      </c>
      <c r="B159" s="1" t="s">
        <v>37</v>
      </c>
      <c r="C159" s="2" t="s">
        <v>22</v>
      </c>
      <c r="D159" s="5">
        <v>1.6400000000000001E-2</v>
      </c>
      <c r="E159" s="5">
        <v>1.4666666666666699E-3</v>
      </c>
      <c r="F159" s="5">
        <f t="shared" si="4"/>
        <v>1.4933333333333331E-2</v>
      </c>
      <c r="G159">
        <f t="shared" si="5"/>
        <v>4.8234666666666657</v>
      </c>
    </row>
    <row r="160" spans="1:7">
      <c r="A160" s="1" t="s">
        <v>36</v>
      </c>
      <c r="B160" s="1" t="s">
        <v>37</v>
      </c>
      <c r="C160" s="2" t="s">
        <v>23</v>
      </c>
      <c r="D160" s="5">
        <v>1.4500000000000001E-2</v>
      </c>
      <c r="E160" s="5">
        <v>1.4666666666666699E-3</v>
      </c>
      <c r="F160" s="5">
        <f t="shared" si="4"/>
        <v>1.3033333333333331E-2</v>
      </c>
      <c r="G160">
        <f t="shared" si="5"/>
        <v>4.2097666666666651</v>
      </c>
    </row>
    <row r="161" spans="1:7">
      <c r="A161" s="1" t="s">
        <v>36</v>
      </c>
      <c r="B161" s="1" t="s">
        <v>37</v>
      </c>
      <c r="C161" s="2" t="s">
        <v>24</v>
      </c>
      <c r="D161" s="5">
        <v>1.67E-2</v>
      </c>
      <c r="E161" s="5">
        <v>3.6666666666666701E-3</v>
      </c>
      <c r="F161" s="5">
        <f t="shared" si="4"/>
        <v>1.3033333333333329E-2</v>
      </c>
      <c r="G161">
        <f t="shared" si="5"/>
        <v>4.2097666666666651</v>
      </c>
    </row>
    <row r="162" spans="1:7">
      <c r="A162" s="1" t="s">
        <v>36</v>
      </c>
      <c r="B162" s="1" t="s">
        <v>37</v>
      </c>
      <c r="C162" s="2" t="s">
        <v>26</v>
      </c>
      <c r="D162" s="5">
        <v>1.52E-2</v>
      </c>
      <c r="E162" s="5">
        <v>1.7666666666666701E-3</v>
      </c>
      <c r="F162" s="5">
        <f t="shared" si="4"/>
        <v>1.343333333333333E-2</v>
      </c>
      <c r="G162">
        <f t="shared" si="5"/>
        <v>4.3389666666666651</v>
      </c>
    </row>
    <row r="163" spans="1:7">
      <c r="A163" s="1" t="s">
        <v>36</v>
      </c>
      <c r="B163" s="1" t="s">
        <v>37</v>
      </c>
      <c r="C163" s="2" t="s">
        <v>27</v>
      </c>
      <c r="D163" s="5">
        <v>2.0500000000000001E-2</v>
      </c>
      <c r="E163" s="5">
        <v>1.8666666666666699E-3</v>
      </c>
      <c r="F163" s="5">
        <f t="shared" si="4"/>
        <v>1.8633333333333332E-2</v>
      </c>
      <c r="G163">
        <f t="shared" si="5"/>
        <v>6.0185666666666657</v>
      </c>
    </row>
    <row r="164" spans="1:7">
      <c r="A164" s="1" t="s">
        <v>36</v>
      </c>
      <c r="B164" s="1" t="s">
        <v>38</v>
      </c>
      <c r="C164" s="2" t="s">
        <v>4</v>
      </c>
      <c r="D164" s="5">
        <v>1.3599999999999999E-2</v>
      </c>
      <c r="E164" s="5">
        <v>1.56666666666667E-3</v>
      </c>
      <c r="F164" s="5">
        <f t="shared" si="4"/>
        <v>1.203333333333333E-2</v>
      </c>
      <c r="G164">
        <f t="shared" si="5"/>
        <v>3.8867666666666647</v>
      </c>
    </row>
    <row r="165" spans="1:7">
      <c r="A165" s="1" t="s">
        <v>36</v>
      </c>
      <c r="B165" s="1" t="s">
        <v>38</v>
      </c>
      <c r="C165" s="2" t="s">
        <v>6</v>
      </c>
      <c r="D165" s="5">
        <v>2.6200000000000001E-2</v>
      </c>
      <c r="E165" s="5">
        <v>2.66666666666667E-3</v>
      </c>
      <c r="F165" s="5">
        <f t="shared" si="4"/>
        <v>2.353333333333333E-2</v>
      </c>
      <c r="G165">
        <f t="shared" si="5"/>
        <v>7.6012666666666648</v>
      </c>
    </row>
    <row r="166" spans="1:7">
      <c r="A166" s="1" t="s">
        <v>36</v>
      </c>
      <c r="B166" s="1" t="s">
        <v>38</v>
      </c>
      <c r="C166" s="2" t="s">
        <v>7</v>
      </c>
      <c r="D166" s="5">
        <v>3.1199999999999999E-2</v>
      </c>
      <c r="E166" s="5">
        <v>2.2666666666666699E-3</v>
      </c>
      <c r="F166" s="5">
        <f t="shared" si="4"/>
        <v>2.8933333333333328E-2</v>
      </c>
      <c r="G166">
        <f t="shared" si="5"/>
        <v>9.3454666666666633</v>
      </c>
    </row>
    <row r="167" spans="1:7">
      <c r="A167" s="1" t="s">
        <v>36</v>
      </c>
      <c r="B167" s="1" t="s">
        <v>38</v>
      </c>
      <c r="C167" s="2" t="s">
        <v>8</v>
      </c>
      <c r="D167" s="5">
        <v>1.6E-2</v>
      </c>
      <c r="E167" s="5">
        <v>-3.3333333333333099E-4</v>
      </c>
      <c r="F167" s="5">
        <f t="shared" si="4"/>
        <v>1.6333333333333332E-2</v>
      </c>
      <c r="G167">
        <f t="shared" si="5"/>
        <v>5.2756666666666652</v>
      </c>
    </row>
    <row r="168" spans="1:7">
      <c r="A168" s="1" t="s">
        <v>36</v>
      </c>
      <c r="B168" s="1" t="s">
        <v>38</v>
      </c>
      <c r="C168" s="2" t="s">
        <v>10</v>
      </c>
      <c r="D168" s="5">
        <v>1.49E-2</v>
      </c>
      <c r="E168" s="5">
        <v>-2.7333333333333298E-3</v>
      </c>
      <c r="F168" s="5">
        <f t="shared" si="4"/>
        <v>1.7633333333333331E-2</v>
      </c>
      <c r="G168">
        <f t="shared" si="5"/>
        <v>5.6955666666666644</v>
      </c>
    </row>
    <row r="169" spans="1:7">
      <c r="A169" s="1" t="s">
        <v>36</v>
      </c>
      <c r="B169" s="1" t="s">
        <v>38</v>
      </c>
      <c r="C169" s="2" t="s">
        <v>11</v>
      </c>
      <c r="D169" s="5">
        <v>2.8500000000000001E-2</v>
      </c>
      <c r="E169" s="5">
        <v>1.2466666666666701E-2</v>
      </c>
      <c r="F169" s="5">
        <f t="shared" si="4"/>
        <v>1.6033333333333302E-2</v>
      </c>
      <c r="G169">
        <f t="shared" si="5"/>
        <v>5.1787666666666565</v>
      </c>
    </row>
    <row r="170" spans="1:7">
      <c r="A170" s="1" t="s">
        <v>36</v>
      </c>
      <c r="B170" s="1" t="s">
        <v>38</v>
      </c>
      <c r="C170" s="2" t="s">
        <v>12</v>
      </c>
      <c r="D170" s="5">
        <v>3.2899999999999999E-2</v>
      </c>
      <c r="E170" s="5">
        <v>1.31666666666667E-2</v>
      </c>
      <c r="F170" s="5">
        <f t="shared" si="4"/>
        <v>1.9733333333333297E-2</v>
      </c>
      <c r="G170">
        <f t="shared" si="5"/>
        <v>6.3738666666666539</v>
      </c>
    </row>
    <row r="171" spans="1:7">
      <c r="A171" s="1" t="s">
        <v>36</v>
      </c>
      <c r="B171" s="1" t="s">
        <v>38</v>
      </c>
      <c r="C171" s="2" t="s">
        <v>14</v>
      </c>
      <c r="D171" s="5">
        <v>1.8599999999999998E-2</v>
      </c>
      <c r="E171" s="5">
        <v>3.3666666666666701E-3</v>
      </c>
      <c r="F171" s="5">
        <f t="shared" si="4"/>
        <v>1.5233333333333328E-2</v>
      </c>
      <c r="G171">
        <f t="shared" si="5"/>
        <v>4.9203666666666646</v>
      </c>
    </row>
    <row r="172" spans="1:7">
      <c r="A172" s="1" t="s">
        <v>36</v>
      </c>
      <c r="B172" s="1" t="s">
        <v>38</v>
      </c>
      <c r="C172" s="2" t="s">
        <v>15</v>
      </c>
      <c r="D172" s="5">
        <v>4.8399999999999999E-2</v>
      </c>
      <c r="E172" s="5">
        <v>2.4066666666666701E-2</v>
      </c>
      <c r="F172" s="5">
        <f t="shared" si="4"/>
        <v>2.4333333333333297E-2</v>
      </c>
      <c r="G172">
        <f t="shared" si="5"/>
        <v>7.8596666666666541</v>
      </c>
    </row>
    <row r="173" spans="1:7">
      <c r="A173" s="1" t="s">
        <v>36</v>
      </c>
      <c r="B173" s="1" t="s">
        <v>38</v>
      </c>
      <c r="C173" s="2" t="s">
        <v>16</v>
      </c>
      <c r="D173" s="5">
        <v>1.7500000000000002E-2</v>
      </c>
      <c r="E173" s="5">
        <v>2.2666666666666699E-3</v>
      </c>
      <c r="F173" s="5">
        <f t="shared" si="4"/>
        <v>1.5233333333333331E-2</v>
      </c>
      <c r="G173">
        <f t="shared" si="5"/>
        <v>4.9203666666666654</v>
      </c>
    </row>
    <row r="174" spans="1:7">
      <c r="A174" s="1" t="s">
        <v>36</v>
      </c>
      <c r="B174" s="1" t="s">
        <v>38</v>
      </c>
      <c r="C174" s="2" t="s">
        <v>18</v>
      </c>
      <c r="D174" s="5">
        <v>3.2199999999999999E-2</v>
      </c>
      <c r="E174" s="5">
        <v>1.2466666666666701E-2</v>
      </c>
      <c r="F174" s="5">
        <f t="shared" si="4"/>
        <v>1.9733333333333297E-2</v>
      </c>
      <c r="G174">
        <f t="shared" si="5"/>
        <v>6.3738666666666539</v>
      </c>
    </row>
    <row r="175" spans="1:7">
      <c r="A175" s="1" t="s">
        <v>36</v>
      </c>
      <c r="B175" s="1" t="s">
        <v>38</v>
      </c>
      <c r="C175" s="2" t="s">
        <v>19</v>
      </c>
      <c r="D175" s="5">
        <v>1.95E-2</v>
      </c>
      <c r="E175" s="5">
        <v>2.16666666666667E-3</v>
      </c>
      <c r="F175" s="5">
        <f t="shared" si="4"/>
        <v>1.7333333333333329E-2</v>
      </c>
      <c r="G175">
        <f t="shared" si="5"/>
        <v>5.5986666666666647</v>
      </c>
    </row>
    <row r="176" spans="1:7">
      <c r="A176" s="1" t="s">
        <v>36</v>
      </c>
      <c r="B176" s="1" t="s">
        <v>38</v>
      </c>
      <c r="C176" s="2" t="s">
        <v>20</v>
      </c>
      <c r="D176" s="5">
        <v>1.8499999999999999E-2</v>
      </c>
      <c r="E176" s="5">
        <v>5.6666666666666697E-3</v>
      </c>
      <c r="F176" s="5">
        <f t="shared" si="4"/>
        <v>1.2833333333333329E-2</v>
      </c>
      <c r="G176">
        <f t="shared" si="5"/>
        <v>4.1451666666666647</v>
      </c>
    </row>
    <row r="177" spans="1:7">
      <c r="A177" s="1" t="s">
        <v>36</v>
      </c>
      <c r="B177" s="1" t="s">
        <v>38</v>
      </c>
      <c r="C177" s="2" t="s">
        <v>22</v>
      </c>
      <c r="D177" s="5">
        <v>2.3099999999999999E-2</v>
      </c>
      <c r="E177" s="5">
        <v>2.66666666666667E-3</v>
      </c>
      <c r="F177" s="5">
        <f t="shared" si="4"/>
        <v>2.0433333333333328E-2</v>
      </c>
      <c r="G177">
        <f t="shared" si="5"/>
        <v>6.5999666666666643</v>
      </c>
    </row>
    <row r="178" spans="1:7">
      <c r="A178" s="1" t="s">
        <v>36</v>
      </c>
      <c r="B178" s="1" t="s">
        <v>38</v>
      </c>
      <c r="C178" s="2" t="s">
        <v>23</v>
      </c>
      <c r="D178" s="5">
        <v>5.0299999999999997E-2</v>
      </c>
      <c r="E178" s="5">
        <v>3.0166666666666699E-2</v>
      </c>
      <c r="F178" s="5">
        <f t="shared" si="4"/>
        <v>2.0133333333333298E-2</v>
      </c>
      <c r="G178">
        <f t="shared" si="5"/>
        <v>6.5030666666666548</v>
      </c>
    </row>
    <row r="179" spans="1:7">
      <c r="A179" s="1" t="s">
        <v>36</v>
      </c>
      <c r="B179" s="1" t="s">
        <v>38</v>
      </c>
      <c r="C179" s="2" t="s">
        <v>24</v>
      </c>
      <c r="D179" s="5">
        <v>1.5699999999999999E-2</v>
      </c>
      <c r="E179" s="5">
        <v>1.4666666666666699E-3</v>
      </c>
      <c r="F179" s="5">
        <f t="shared" si="4"/>
        <v>1.4233333333333329E-2</v>
      </c>
      <c r="G179">
        <f t="shared" si="5"/>
        <v>4.5973666666666642</v>
      </c>
    </row>
    <row r="180" spans="1:7">
      <c r="A180" s="1" t="s">
        <v>36</v>
      </c>
      <c r="B180" s="1" t="s">
        <v>38</v>
      </c>
      <c r="C180" s="2" t="s">
        <v>26</v>
      </c>
      <c r="D180" s="5">
        <v>1.5900000000000001E-2</v>
      </c>
      <c r="E180" s="5">
        <v>4.66666666666671E-4</v>
      </c>
      <c r="F180" s="5">
        <f t="shared" si="4"/>
        <v>1.543333333333333E-2</v>
      </c>
      <c r="G180">
        <f t="shared" si="5"/>
        <v>4.984966666666665</v>
      </c>
    </row>
    <row r="181" spans="1:7">
      <c r="A181" s="1" t="s">
        <v>36</v>
      </c>
      <c r="B181" s="1" t="s">
        <v>38</v>
      </c>
      <c r="C181" s="2" t="s">
        <v>27</v>
      </c>
      <c r="D181" s="5">
        <v>4.1000000000000002E-2</v>
      </c>
      <c r="E181" s="5">
        <v>2.3566666666666701E-2</v>
      </c>
      <c r="F181" s="5">
        <f t="shared" si="4"/>
        <v>1.7433333333333301E-2</v>
      </c>
      <c r="G181">
        <f t="shared" si="5"/>
        <v>5.6309666666666551</v>
      </c>
    </row>
    <row r="182" spans="1:7">
      <c r="A182" s="1" t="s">
        <v>36</v>
      </c>
      <c r="B182" s="1" t="s">
        <v>39</v>
      </c>
      <c r="C182" s="2" t="s">
        <v>4</v>
      </c>
      <c r="D182" s="5">
        <v>1.6220833333333299E-2</v>
      </c>
      <c r="E182" s="5">
        <v>-7.6249999999999203E-4</v>
      </c>
      <c r="F182" s="5">
        <f t="shared" si="4"/>
        <v>1.6983333333333291E-2</v>
      </c>
      <c r="G182">
        <f t="shared" si="5"/>
        <v>5.4856166666666528</v>
      </c>
    </row>
    <row r="183" spans="1:7">
      <c r="A183" s="1" t="s">
        <v>36</v>
      </c>
      <c r="B183" s="1" t="s">
        <v>39</v>
      </c>
      <c r="C183" s="2" t="s">
        <v>6</v>
      </c>
      <c r="D183" s="5">
        <v>1.8620833333333298E-2</v>
      </c>
      <c r="E183" s="5">
        <v>4.37500000000007E-4</v>
      </c>
      <c r="F183" s="5">
        <f t="shared" si="4"/>
        <v>1.8183333333333291E-2</v>
      </c>
      <c r="G183">
        <f t="shared" si="5"/>
        <v>5.8732166666666528</v>
      </c>
    </row>
    <row r="184" spans="1:7">
      <c r="A184" s="1" t="s">
        <v>36</v>
      </c>
      <c r="B184" s="1" t="s">
        <v>39</v>
      </c>
      <c r="C184" s="2" t="s">
        <v>7</v>
      </c>
      <c r="D184" s="5">
        <v>2.9320833333333299E-2</v>
      </c>
      <c r="E184" s="5">
        <v>7.3750000000000898E-4</v>
      </c>
      <c r="F184" s="5">
        <f t="shared" si="4"/>
        <v>2.858333333333329E-2</v>
      </c>
      <c r="G184">
        <f t="shared" si="5"/>
        <v>9.2324166666666514</v>
      </c>
    </row>
    <row r="185" spans="1:7">
      <c r="A185" s="1" t="s">
        <v>36</v>
      </c>
      <c r="B185" s="1" t="s">
        <v>39</v>
      </c>
      <c r="C185" s="2" t="s">
        <v>8</v>
      </c>
      <c r="D185" s="5">
        <v>3.2320833333333299E-2</v>
      </c>
      <c r="E185" s="5">
        <v>1.7375000000000101E-3</v>
      </c>
      <c r="F185" s="5">
        <f t="shared" si="4"/>
        <v>3.0583333333333289E-2</v>
      </c>
      <c r="G185">
        <f t="shared" si="5"/>
        <v>9.8784166666666504</v>
      </c>
    </row>
    <row r="186" spans="1:7">
      <c r="A186" s="1" t="s">
        <v>36</v>
      </c>
      <c r="B186" s="1" t="s">
        <v>39</v>
      </c>
      <c r="C186" s="2" t="s">
        <v>10</v>
      </c>
      <c r="D186" s="5">
        <v>3.03208333333333E-2</v>
      </c>
      <c r="E186" s="5">
        <v>1.8375000000000099E-3</v>
      </c>
      <c r="F186" s="5">
        <f t="shared" si="4"/>
        <v>2.8483333333333291E-2</v>
      </c>
      <c r="G186">
        <f t="shared" si="5"/>
        <v>9.2001166666666521</v>
      </c>
    </row>
    <row r="187" spans="1:7">
      <c r="A187" s="1" t="s">
        <v>36</v>
      </c>
      <c r="B187" s="1" t="s">
        <v>39</v>
      </c>
      <c r="C187" s="2" t="s">
        <v>11</v>
      </c>
      <c r="D187" s="5">
        <v>2.0920833333333302E-2</v>
      </c>
      <c r="E187" s="5">
        <v>-6.6249999999998905E-4</v>
      </c>
      <c r="F187" s="5">
        <f t="shared" si="4"/>
        <v>2.1583333333333291E-2</v>
      </c>
      <c r="G187">
        <f t="shared" si="5"/>
        <v>6.9714166666666522</v>
      </c>
    </row>
    <row r="188" spans="1:7">
      <c r="A188" s="1" t="s">
        <v>36</v>
      </c>
      <c r="B188" s="1" t="s">
        <v>39</v>
      </c>
      <c r="C188" s="2" t="s">
        <v>12</v>
      </c>
      <c r="D188" s="5">
        <v>2.0720833333333299E-2</v>
      </c>
      <c r="E188" s="5">
        <v>-2.9624999999999899E-3</v>
      </c>
      <c r="F188" s="5">
        <f t="shared" si="4"/>
        <v>2.3683333333333289E-2</v>
      </c>
      <c r="G188">
        <f t="shared" si="5"/>
        <v>7.6497166666666514</v>
      </c>
    </row>
    <row r="189" spans="1:7">
      <c r="A189" s="1" t="s">
        <v>36</v>
      </c>
      <c r="B189" s="1" t="s">
        <v>39</v>
      </c>
      <c r="C189" s="2" t="s">
        <v>14</v>
      </c>
      <c r="D189" s="5">
        <v>2.40208333333333E-2</v>
      </c>
      <c r="E189" s="5">
        <v>1.53750000000001E-3</v>
      </c>
      <c r="F189" s="5">
        <f t="shared" si="4"/>
        <v>2.2483333333333289E-2</v>
      </c>
      <c r="G189">
        <f t="shared" si="5"/>
        <v>7.2621166666666515</v>
      </c>
    </row>
    <row r="190" spans="1:7">
      <c r="A190" s="1" t="s">
        <v>36</v>
      </c>
      <c r="B190" s="1" t="s">
        <v>39</v>
      </c>
      <c r="C190" s="2" t="s">
        <v>15</v>
      </c>
      <c r="D190" s="5">
        <v>2.75208333333333E-2</v>
      </c>
      <c r="E190" s="5">
        <v>1.13750000000001E-3</v>
      </c>
      <c r="F190" s="5">
        <f t="shared" si="4"/>
        <v>2.638333333333329E-2</v>
      </c>
      <c r="G190">
        <f t="shared" si="5"/>
        <v>8.5218166666666519</v>
      </c>
    </row>
    <row r="191" spans="1:7">
      <c r="A191" s="1" t="s">
        <v>36</v>
      </c>
      <c r="B191" s="1" t="s">
        <v>39</v>
      </c>
      <c r="C191" s="2" t="s">
        <v>16</v>
      </c>
      <c r="D191" s="5">
        <v>1.9720833333333299E-2</v>
      </c>
      <c r="E191" s="5">
        <v>7.3750000000000898E-4</v>
      </c>
      <c r="F191" s="5">
        <f t="shared" si="4"/>
        <v>1.898333333333329E-2</v>
      </c>
      <c r="G191">
        <f t="shared" si="5"/>
        <v>6.1316166666666509</v>
      </c>
    </row>
    <row r="192" spans="1:7">
      <c r="A192" s="1" t="s">
        <v>36</v>
      </c>
      <c r="B192" s="1" t="s">
        <v>39</v>
      </c>
      <c r="C192" s="2" t="s">
        <v>18</v>
      </c>
      <c r="D192" s="5">
        <v>1.8520833333333299E-2</v>
      </c>
      <c r="E192" s="5">
        <v>1.43750000000001E-3</v>
      </c>
      <c r="F192" s="5">
        <f t="shared" si="4"/>
        <v>1.7083333333333291E-2</v>
      </c>
      <c r="G192">
        <f t="shared" si="5"/>
        <v>5.5179166666666521</v>
      </c>
    </row>
    <row r="193" spans="1:7">
      <c r="A193" s="1" t="s">
        <v>36</v>
      </c>
      <c r="B193" s="1" t="s">
        <v>39</v>
      </c>
      <c r="C193" s="2" t="s">
        <v>19</v>
      </c>
      <c r="D193" s="5">
        <v>1.4420833333333299E-2</v>
      </c>
      <c r="E193" s="5">
        <v>-1.1624999999999899E-3</v>
      </c>
      <c r="F193" s="5">
        <f t="shared" si="4"/>
        <v>1.5583333333333289E-2</v>
      </c>
      <c r="G193">
        <f t="shared" si="5"/>
        <v>5.0334166666666524</v>
      </c>
    </row>
    <row r="194" spans="1:7">
      <c r="A194" s="1" t="s">
        <v>36</v>
      </c>
      <c r="B194" s="1" t="s">
        <v>39</v>
      </c>
      <c r="C194" s="2" t="s">
        <v>20</v>
      </c>
      <c r="D194" s="5">
        <v>2.1320833333333299E-2</v>
      </c>
      <c r="E194" s="5">
        <v>2.3375000000000101E-3</v>
      </c>
      <c r="F194" s="5">
        <f t="shared" si="4"/>
        <v>1.898333333333329E-2</v>
      </c>
      <c r="G194">
        <f t="shared" si="5"/>
        <v>6.1316166666666509</v>
      </c>
    </row>
    <row r="195" spans="1:7">
      <c r="A195" s="1" t="s">
        <v>36</v>
      </c>
      <c r="B195" s="1" t="s">
        <v>39</v>
      </c>
      <c r="C195" s="2" t="s">
        <v>22</v>
      </c>
      <c r="D195" s="5">
        <v>4.0720833333333303E-2</v>
      </c>
      <c r="E195" s="5">
        <v>-1.6624999999999899E-3</v>
      </c>
      <c r="F195" s="5">
        <f t="shared" ref="F195:F258" si="6">D195-E195</f>
        <v>4.2383333333333294E-2</v>
      </c>
      <c r="G195">
        <f t="shared" ref="G195:G258" si="7">32.3*F195/0.1</f>
        <v>13.689816666666651</v>
      </c>
    </row>
    <row r="196" spans="1:7">
      <c r="A196" s="1" t="s">
        <v>36</v>
      </c>
      <c r="B196" s="1" t="s">
        <v>39</v>
      </c>
      <c r="C196" s="2" t="s">
        <v>23</v>
      </c>
      <c r="D196" s="5">
        <v>2.7220833333333298E-2</v>
      </c>
      <c r="E196" s="5">
        <v>2.5375000000000098E-3</v>
      </c>
      <c r="F196" s="5">
        <f t="shared" si="6"/>
        <v>2.468333333333329E-2</v>
      </c>
      <c r="G196">
        <f t="shared" si="7"/>
        <v>7.9727166666666509</v>
      </c>
    </row>
    <row r="197" spans="1:7">
      <c r="A197" s="1" t="s">
        <v>36</v>
      </c>
      <c r="B197" s="1" t="s">
        <v>39</v>
      </c>
      <c r="C197" s="2" t="s">
        <v>24</v>
      </c>
      <c r="D197" s="5">
        <v>1.4520833333333301E-2</v>
      </c>
      <c r="E197" s="5">
        <v>-6.2499999999993103E-5</v>
      </c>
      <c r="F197" s="5">
        <f t="shared" si="6"/>
        <v>1.4583333333333294E-2</v>
      </c>
      <c r="G197">
        <f t="shared" si="7"/>
        <v>4.7104166666666529</v>
      </c>
    </row>
    <row r="198" spans="1:7">
      <c r="A198" s="1" t="s">
        <v>36</v>
      </c>
      <c r="B198" s="1" t="s">
        <v>39</v>
      </c>
      <c r="C198" s="2" t="s">
        <v>26</v>
      </c>
      <c r="D198" s="5">
        <v>1.1320833333333301E-2</v>
      </c>
      <c r="E198" s="5">
        <v>-5.6249999999999399E-4</v>
      </c>
      <c r="F198" s="5">
        <f t="shared" si="6"/>
        <v>1.1883333333333294E-2</v>
      </c>
      <c r="G198">
        <f t="shared" si="7"/>
        <v>3.8383166666666533</v>
      </c>
    </row>
    <row r="199" spans="1:7">
      <c r="A199" s="1" t="s">
        <v>36</v>
      </c>
      <c r="B199" s="1" t="s">
        <v>39</v>
      </c>
      <c r="C199" s="2" t="s">
        <v>27</v>
      </c>
      <c r="D199" s="5">
        <v>1.8120833333333301E-2</v>
      </c>
      <c r="E199" s="5">
        <v>6.3750000000000601E-4</v>
      </c>
      <c r="F199" s="5">
        <f t="shared" si="6"/>
        <v>1.7483333333333295E-2</v>
      </c>
      <c r="G199">
        <f t="shared" si="7"/>
        <v>5.6471166666666539</v>
      </c>
    </row>
    <row r="200" spans="1:7">
      <c r="A200" s="1" t="s">
        <v>36</v>
      </c>
      <c r="B200" s="1" t="s">
        <v>40</v>
      </c>
      <c r="C200" s="2" t="s">
        <v>4</v>
      </c>
      <c r="D200" s="5">
        <v>2.34208333333333E-2</v>
      </c>
      <c r="E200" s="5">
        <v>-2.0624999999999901E-3</v>
      </c>
      <c r="F200" s="5">
        <f t="shared" si="6"/>
        <v>2.5483333333333292E-2</v>
      </c>
      <c r="G200">
        <f t="shared" si="7"/>
        <v>8.2311166666666526</v>
      </c>
    </row>
    <row r="201" spans="1:7">
      <c r="A201" s="1" t="s">
        <v>36</v>
      </c>
      <c r="B201" s="1" t="s">
        <v>40</v>
      </c>
      <c r="C201" s="2" t="s">
        <v>6</v>
      </c>
      <c r="D201" s="5">
        <v>1.5720833333333298E-2</v>
      </c>
      <c r="E201" s="5">
        <v>-3.16249999999999E-3</v>
      </c>
      <c r="F201" s="5">
        <f t="shared" si="6"/>
        <v>1.8883333333333287E-2</v>
      </c>
      <c r="G201">
        <f t="shared" si="7"/>
        <v>6.0993166666666507</v>
      </c>
    </row>
    <row r="202" spans="1:7">
      <c r="A202" s="1" t="s">
        <v>36</v>
      </c>
      <c r="B202" s="1" t="s">
        <v>40</v>
      </c>
      <c r="C202" s="2" t="s">
        <v>7</v>
      </c>
      <c r="D202" s="5">
        <v>1.6720833333333299E-2</v>
      </c>
      <c r="E202" s="5">
        <v>-2.7624999999999898E-3</v>
      </c>
      <c r="F202" s="5">
        <f t="shared" si="6"/>
        <v>1.948333333333329E-2</v>
      </c>
      <c r="G202">
        <f t="shared" si="7"/>
        <v>6.2931166666666511</v>
      </c>
    </row>
    <row r="203" spans="1:7">
      <c r="A203" s="1" t="s">
        <v>36</v>
      </c>
      <c r="B203" s="1" t="s">
        <v>40</v>
      </c>
      <c r="C203" s="2" t="s">
        <v>8</v>
      </c>
      <c r="D203" s="5">
        <v>1.4420833333333299E-2</v>
      </c>
      <c r="E203" s="5">
        <v>-2.7624999999999898E-3</v>
      </c>
      <c r="F203" s="5">
        <f t="shared" si="6"/>
        <v>1.718333333333329E-2</v>
      </c>
      <c r="G203">
        <f t="shared" si="7"/>
        <v>5.5502166666666515</v>
      </c>
    </row>
    <row r="204" spans="1:7">
      <c r="A204" s="1" t="s">
        <v>36</v>
      </c>
      <c r="B204" s="1" t="s">
        <v>40</v>
      </c>
      <c r="C204" s="2" t="s">
        <v>10</v>
      </c>
      <c r="D204" s="5">
        <v>1.23208333333333E-2</v>
      </c>
      <c r="E204" s="5">
        <v>-2.66249999999999E-3</v>
      </c>
      <c r="F204" s="5">
        <f t="shared" si="6"/>
        <v>1.498333333333329E-2</v>
      </c>
      <c r="G204">
        <f t="shared" si="7"/>
        <v>4.839616666666652</v>
      </c>
    </row>
    <row r="205" spans="1:7">
      <c r="A205" s="1" t="s">
        <v>36</v>
      </c>
      <c r="B205" s="1" t="s">
        <v>40</v>
      </c>
      <c r="C205" s="2" t="s">
        <v>11</v>
      </c>
      <c r="D205" s="5">
        <v>1.6520833333333301E-2</v>
      </c>
      <c r="E205" s="5">
        <v>-6.6249999999998905E-4</v>
      </c>
      <c r="F205" s="5">
        <f t="shared" si="6"/>
        <v>1.718333333333329E-2</v>
      </c>
      <c r="G205">
        <f t="shared" si="7"/>
        <v>5.5502166666666515</v>
      </c>
    </row>
    <row r="206" spans="1:7">
      <c r="A206" s="1" t="s">
        <v>36</v>
      </c>
      <c r="B206" s="1" t="s">
        <v>40</v>
      </c>
      <c r="C206" s="2" t="s">
        <v>12</v>
      </c>
      <c r="D206" s="5">
        <v>2.3120833333333299E-2</v>
      </c>
      <c r="E206" s="5">
        <v>-7.6249999999999203E-4</v>
      </c>
      <c r="F206" s="5">
        <f t="shared" si="6"/>
        <v>2.3883333333333291E-2</v>
      </c>
      <c r="G206">
        <f t="shared" si="7"/>
        <v>7.7143166666666518</v>
      </c>
    </row>
    <row r="207" spans="1:7">
      <c r="A207" s="1" t="s">
        <v>36</v>
      </c>
      <c r="B207" s="1" t="s">
        <v>40</v>
      </c>
      <c r="C207" s="2" t="s">
        <v>14</v>
      </c>
      <c r="D207" s="5">
        <v>1.3920833333333301E-2</v>
      </c>
      <c r="E207" s="5">
        <v>-1.4624999999999901E-3</v>
      </c>
      <c r="F207" s="5">
        <f t="shared" si="6"/>
        <v>1.5383333333333291E-2</v>
      </c>
      <c r="G207">
        <f t="shared" si="7"/>
        <v>4.968816666666652</v>
      </c>
    </row>
    <row r="208" spans="1:7">
      <c r="A208" s="1" t="s">
        <v>36</v>
      </c>
      <c r="B208" s="1" t="s">
        <v>40</v>
      </c>
      <c r="C208" s="2" t="s">
        <v>15</v>
      </c>
      <c r="D208" s="5">
        <v>1.83208333333333E-2</v>
      </c>
      <c r="E208" s="5">
        <v>-1.9624999999999899E-3</v>
      </c>
      <c r="F208" s="5">
        <f t="shared" si="6"/>
        <v>2.0283333333333289E-2</v>
      </c>
      <c r="G208">
        <f t="shared" si="7"/>
        <v>6.5515166666666511</v>
      </c>
    </row>
    <row r="209" spans="1:7">
      <c r="A209" s="1" t="s">
        <v>36</v>
      </c>
      <c r="B209" s="1" t="s">
        <v>40</v>
      </c>
      <c r="C209" s="2" t="s">
        <v>16</v>
      </c>
      <c r="D209" s="5">
        <v>2.3820833333333302E-2</v>
      </c>
      <c r="E209" s="5">
        <v>7.0375000000000099E-3</v>
      </c>
      <c r="F209" s="5">
        <f t="shared" si="6"/>
        <v>1.6783333333333292E-2</v>
      </c>
      <c r="G209">
        <f t="shared" si="7"/>
        <v>5.4210166666666524</v>
      </c>
    </row>
    <row r="210" spans="1:7">
      <c r="A210" s="1" t="s">
        <v>36</v>
      </c>
      <c r="B210" s="1" t="s">
        <v>40</v>
      </c>
      <c r="C210" s="2" t="s">
        <v>18</v>
      </c>
      <c r="D210" s="5">
        <v>1.52208333333333E-2</v>
      </c>
      <c r="E210" s="5">
        <v>-1.5624999999999899E-3</v>
      </c>
      <c r="F210" s="5">
        <f t="shared" si="6"/>
        <v>1.6783333333333289E-2</v>
      </c>
      <c r="G210">
        <f t="shared" si="7"/>
        <v>5.4210166666666515</v>
      </c>
    </row>
    <row r="211" spans="1:7">
      <c r="A211" s="1" t="s">
        <v>36</v>
      </c>
      <c r="B211" s="1" t="s">
        <v>40</v>
      </c>
      <c r="C211" s="2" t="s">
        <v>19</v>
      </c>
      <c r="D211" s="5">
        <v>3.38208333333333E-2</v>
      </c>
      <c r="E211" s="5">
        <v>1.00375E-2</v>
      </c>
      <c r="F211" s="5">
        <f t="shared" si="6"/>
        <v>2.3783333333333302E-2</v>
      </c>
      <c r="G211">
        <f t="shared" si="7"/>
        <v>7.6820166666666552</v>
      </c>
    </row>
    <row r="212" spans="1:7">
      <c r="A212" s="1" t="s">
        <v>36</v>
      </c>
      <c r="B212" s="1" t="s">
        <v>40</v>
      </c>
      <c r="C212" s="2" t="s">
        <v>20</v>
      </c>
      <c r="D212" s="5">
        <v>1.94208333333333E-2</v>
      </c>
      <c r="E212" s="5">
        <v>6.3750000000000601E-4</v>
      </c>
      <c r="F212" s="5">
        <f t="shared" si="6"/>
        <v>1.8783333333333294E-2</v>
      </c>
      <c r="G212">
        <f t="shared" si="7"/>
        <v>6.0670166666666532</v>
      </c>
    </row>
    <row r="213" spans="1:7">
      <c r="A213" s="1" t="s">
        <v>36</v>
      </c>
      <c r="B213" s="1" t="s">
        <v>40</v>
      </c>
      <c r="C213" s="2" t="s">
        <v>22</v>
      </c>
      <c r="D213" s="5">
        <v>9.7208333333333192E-3</v>
      </c>
      <c r="E213" s="5">
        <v>-1.6249999999998899E-4</v>
      </c>
      <c r="F213" s="5">
        <f t="shared" si="6"/>
        <v>9.8833333333333082E-3</v>
      </c>
      <c r="G213">
        <f t="shared" si="7"/>
        <v>3.1923166666666578</v>
      </c>
    </row>
    <row r="214" spans="1:7">
      <c r="A214" s="1" t="s">
        <v>36</v>
      </c>
      <c r="B214" s="1" t="s">
        <v>40</v>
      </c>
      <c r="C214" s="2" t="s">
        <v>23</v>
      </c>
      <c r="D214" s="5">
        <v>1.41208333333333E-2</v>
      </c>
      <c r="E214" s="5">
        <v>-2.36249999999999E-3</v>
      </c>
      <c r="F214" s="5">
        <f t="shared" si="6"/>
        <v>1.6483333333333291E-2</v>
      </c>
      <c r="G214">
        <f t="shared" si="7"/>
        <v>5.3241166666666526</v>
      </c>
    </row>
    <row r="215" spans="1:7">
      <c r="A215" s="1" t="s">
        <v>36</v>
      </c>
      <c r="B215" s="1" t="s">
        <v>40</v>
      </c>
      <c r="C215" s="2" t="s">
        <v>24</v>
      </c>
      <c r="D215" s="5">
        <v>1.34208333333333E-2</v>
      </c>
      <c r="E215" s="5">
        <v>-4.6249999999999102E-4</v>
      </c>
      <c r="F215" s="5">
        <f t="shared" si="6"/>
        <v>1.3883333333333291E-2</v>
      </c>
      <c r="G215">
        <f t="shared" si="7"/>
        <v>4.4843166666666523</v>
      </c>
    </row>
    <row r="216" spans="1:7">
      <c r="A216" s="1" t="s">
        <v>36</v>
      </c>
      <c r="B216" s="1" t="s">
        <v>40</v>
      </c>
      <c r="C216" s="2" t="s">
        <v>26</v>
      </c>
      <c r="D216" s="5">
        <v>1.83208333333333E-2</v>
      </c>
      <c r="E216" s="5">
        <v>-6.6249999999998905E-4</v>
      </c>
      <c r="F216" s="5">
        <f t="shared" si="6"/>
        <v>1.898333333333329E-2</v>
      </c>
      <c r="G216">
        <f t="shared" si="7"/>
        <v>6.1316166666666509</v>
      </c>
    </row>
    <row r="217" spans="1:7">
      <c r="A217" s="1" t="s">
        <v>36</v>
      </c>
      <c r="B217" s="1" t="s">
        <v>40</v>
      </c>
      <c r="C217" s="2" t="s">
        <v>27</v>
      </c>
      <c r="D217" s="5">
        <v>3.09208333333333E-2</v>
      </c>
      <c r="E217" s="5">
        <v>1.8375000000000099E-3</v>
      </c>
      <c r="F217" s="5">
        <f t="shared" si="6"/>
        <v>2.9083333333333291E-2</v>
      </c>
      <c r="G217">
        <f t="shared" si="7"/>
        <v>9.3939166666666516</v>
      </c>
    </row>
    <row r="218" spans="1:7">
      <c r="A218" s="1" t="s">
        <v>36</v>
      </c>
      <c r="B218" s="1" t="s">
        <v>41</v>
      </c>
      <c r="C218" s="2" t="s">
        <v>4</v>
      </c>
      <c r="D218" s="5">
        <v>1.57666666666667E-2</v>
      </c>
      <c r="E218" s="5">
        <v>1.3874999999999901E-3</v>
      </c>
      <c r="F218" s="5">
        <f t="shared" si="6"/>
        <v>1.437916666666671E-2</v>
      </c>
      <c r="G218">
        <f t="shared" si="7"/>
        <v>4.6444708333333464</v>
      </c>
    </row>
    <row r="219" spans="1:7">
      <c r="A219" s="1" t="s">
        <v>36</v>
      </c>
      <c r="B219" s="1" t="s">
        <v>41</v>
      </c>
      <c r="C219" s="2" t="s">
        <v>6</v>
      </c>
      <c r="D219" s="5">
        <v>1.6666666666666701E-2</v>
      </c>
      <c r="E219" s="5">
        <v>1.58749999999999E-3</v>
      </c>
      <c r="F219" s="5">
        <f t="shared" si="6"/>
        <v>1.5079166666666711E-2</v>
      </c>
      <c r="G219">
        <f t="shared" si="7"/>
        <v>4.8705708333333471</v>
      </c>
    </row>
    <row r="220" spans="1:7">
      <c r="A220" s="1" t="s">
        <v>36</v>
      </c>
      <c r="B220" s="1" t="s">
        <v>41</v>
      </c>
      <c r="C220" s="2" t="s">
        <v>7</v>
      </c>
      <c r="D220" s="5">
        <v>2.89666666666667E-2</v>
      </c>
      <c r="E220" s="5">
        <v>1.04875E-2</v>
      </c>
      <c r="F220" s="5">
        <f t="shared" si="6"/>
        <v>1.8479166666666699E-2</v>
      </c>
      <c r="G220">
        <f t="shared" si="7"/>
        <v>5.9687708333333429</v>
      </c>
    </row>
    <row r="221" spans="1:7">
      <c r="A221" s="1" t="s">
        <v>36</v>
      </c>
      <c r="B221" s="1" t="s">
        <v>41</v>
      </c>
      <c r="C221" s="2" t="s">
        <v>8</v>
      </c>
      <c r="D221" s="5">
        <v>2.9766666666666702E-2</v>
      </c>
      <c r="E221" s="5">
        <v>-6.1250000000000204E-4</v>
      </c>
      <c r="F221" s="5">
        <f t="shared" si="6"/>
        <v>3.0379166666666704E-2</v>
      </c>
      <c r="G221">
        <f t="shared" si="7"/>
        <v>9.812470833333343</v>
      </c>
    </row>
    <row r="222" spans="1:7">
      <c r="A222" s="1" t="s">
        <v>36</v>
      </c>
      <c r="B222" s="1" t="s">
        <v>41</v>
      </c>
      <c r="C222" s="2" t="s">
        <v>10</v>
      </c>
      <c r="D222" s="5">
        <v>1.9966666666666699E-2</v>
      </c>
      <c r="E222" s="5">
        <v>1.2875E-3</v>
      </c>
      <c r="F222" s="5">
        <f t="shared" si="6"/>
        <v>1.8679166666666698E-2</v>
      </c>
      <c r="G222">
        <f t="shared" si="7"/>
        <v>6.0333708333333425</v>
      </c>
    </row>
    <row r="223" spans="1:7">
      <c r="A223" s="1" t="s">
        <v>36</v>
      </c>
      <c r="B223" s="1" t="s">
        <v>41</v>
      </c>
      <c r="C223" s="2" t="s">
        <v>11</v>
      </c>
      <c r="D223" s="5">
        <v>1.11666666666667E-2</v>
      </c>
      <c r="E223" s="5">
        <v>-1.6125E-3</v>
      </c>
      <c r="F223" s="5">
        <f t="shared" si="6"/>
        <v>1.2779166666666699E-2</v>
      </c>
      <c r="G223">
        <f t="shared" si="7"/>
        <v>4.1276708333333429</v>
      </c>
    </row>
    <row r="224" spans="1:7">
      <c r="A224" s="1" t="s">
        <v>36</v>
      </c>
      <c r="B224" s="1" t="s">
        <v>41</v>
      </c>
      <c r="C224" s="2" t="s">
        <v>12</v>
      </c>
      <c r="D224" s="5">
        <v>1.6566666666666702E-2</v>
      </c>
      <c r="E224" s="5">
        <v>-2.3124999999999999E-3</v>
      </c>
      <c r="F224" s="5">
        <f t="shared" si="6"/>
        <v>1.88791666666667E-2</v>
      </c>
      <c r="G224">
        <f t="shared" si="7"/>
        <v>6.0979708333333438</v>
      </c>
    </row>
    <row r="225" spans="1:7">
      <c r="A225" s="1" t="s">
        <v>36</v>
      </c>
      <c r="B225" s="1" t="s">
        <v>41</v>
      </c>
      <c r="C225" s="2" t="s">
        <v>14</v>
      </c>
      <c r="D225" s="5">
        <v>1.2466666666666701E-2</v>
      </c>
      <c r="E225" s="5">
        <v>-1.6125E-3</v>
      </c>
      <c r="F225" s="5">
        <f t="shared" si="6"/>
        <v>1.40791666666667E-2</v>
      </c>
      <c r="G225">
        <f t="shared" si="7"/>
        <v>4.5475708333333431</v>
      </c>
    </row>
    <row r="226" spans="1:7">
      <c r="A226" s="1" t="s">
        <v>36</v>
      </c>
      <c r="B226" s="1" t="s">
        <v>41</v>
      </c>
      <c r="C226" s="2" t="s">
        <v>15</v>
      </c>
      <c r="D226" s="5">
        <v>2.1666666666666699E-2</v>
      </c>
      <c r="E226" s="5">
        <v>2.6874999999999998E-3</v>
      </c>
      <c r="F226" s="5">
        <f t="shared" si="6"/>
        <v>1.89791666666667E-2</v>
      </c>
      <c r="G226">
        <f t="shared" si="7"/>
        <v>6.1302708333333431</v>
      </c>
    </row>
    <row r="227" spans="1:7">
      <c r="A227" s="1" t="s">
        <v>36</v>
      </c>
      <c r="B227" s="1" t="s">
        <v>41</v>
      </c>
      <c r="C227" s="2" t="s">
        <v>16</v>
      </c>
      <c r="D227" s="5">
        <v>1.91666666666667E-2</v>
      </c>
      <c r="E227" s="5">
        <v>-7.1250000000000501E-4</v>
      </c>
      <c r="F227" s="5">
        <f t="shared" si="6"/>
        <v>1.9879166666666705E-2</v>
      </c>
      <c r="G227">
        <f t="shared" si="7"/>
        <v>6.4209708333333442</v>
      </c>
    </row>
    <row r="228" spans="1:7">
      <c r="A228" s="1" t="s">
        <v>36</v>
      </c>
      <c r="B228" s="1" t="s">
        <v>41</v>
      </c>
      <c r="C228" s="2" t="s">
        <v>18</v>
      </c>
      <c r="D228" s="5">
        <v>1.48666666666667E-2</v>
      </c>
      <c r="E228" s="5">
        <v>-1.1250000000000801E-4</v>
      </c>
      <c r="F228" s="5">
        <f t="shared" si="6"/>
        <v>1.4979166666666708E-2</v>
      </c>
      <c r="G228">
        <f t="shared" si="7"/>
        <v>4.838270833333346</v>
      </c>
    </row>
    <row r="229" spans="1:7">
      <c r="A229" s="1" t="s">
        <v>36</v>
      </c>
      <c r="B229" s="1" t="s">
        <v>41</v>
      </c>
      <c r="C229" s="2" t="s">
        <v>19</v>
      </c>
      <c r="D229" s="5">
        <v>1.6366666666666699E-2</v>
      </c>
      <c r="E229" s="5">
        <v>6.87499999999994E-4</v>
      </c>
      <c r="F229" s="5">
        <f t="shared" si="6"/>
        <v>1.5679166666666706E-2</v>
      </c>
      <c r="G229">
        <f t="shared" si="7"/>
        <v>5.0643708333333457</v>
      </c>
    </row>
    <row r="230" spans="1:7">
      <c r="A230" s="1" t="s">
        <v>36</v>
      </c>
      <c r="B230" s="1" t="s">
        <v>41</v>
      </c>
      <c r="C230" s="2" t="s">
        <v>20</v>
      </c>
      <c r="D230" s="5">
        <v>2.0666666666666701E-2</v>
      </c>
      <c r="E230" s="5">
        <v>2.1875000000000002E-3</v>
      </c>
      <c r="F230" s="5">
        <f t="shared" si="6"/>
        <v>1.8479166666666699E-2</v>
      </c>
      <c r="G230">
        <f t="shared" si="7"/>
        <v>5.9687708333333429</v>
      </c>
    </row>
    <row r="231" spans="1:7">
      <c r="A231" s="1" t="s">
        <v>36</v>
      </c>
      <c r="B231" s="1" t="s">
        <v>41</v>
      </c>
      <c r="C231" s="2" t="s">
        <v>22</v>
      </c>
      <c r="D231" s="5">
        <v>1.36666666666667E-2</v>
      </c>
      <c r="E231" s="5">
        <v>-1.6125E-3</v>
      </c>
      <c r="F231" s="5">
        <f t="shared" si="6"/>
        <v>1.52791666666667E-2</v>
      </c>
      <c r="G231">
        <f t="shared" si="7"/>
        <v>4.9351708333333431</v>
      </c>
    </row>
    <row r="232" spans="1:7">
      <c r="A232" s="1" t="s">
        <v>36</v>
      </c>
      <c r="B232" s="1" t="s">
        <v>41</v>
      </c>
      <c r="C232" s="2" t="s">
        <v>23</v>
      </c>
      <c r="D232" s="5">
        <v>1.6666666666666701E-2</v>
      </c>
      <c r="E232" s="5">
        <v>-1.5125000000000099E-3</v>
      </c>
      <c r="F232" s="5">
        <f t="shared" si="6"/>
        <v>1.8179166666666711E-2</v>
      </c>
      <c r="G232">
        <f t="shared" si="7"/>
        <v>5.8718708333333467</v>
      </c>
    </row>
    <row r="233" spans="1:7">
      <c r="A233" s="1" t="s">
        <v>36</v>
      </c>
      <c r="B233" s="1" t="s">
        <v>41</v>
      </c>
      <c r="C233" s="2" t="s">
        <v>24</v>
      </c>
      <c r="D233" s="5">
        <v>2.03666666666667E-2</v>
      </c>
      <c r="E233" s="5">
        <v>2.1875000000000002E-3</v>
      </c>
      <c r="F233" s="5">
        <f t="shared" si="6"/>
        <v>1.8179166666666698E-2</v>
      </c>
      <c r="G233">
        <f t="shared" si="7"/>
        <v>5.8718708333333423</v>
      </c>
    </row>
    <row r="234" spans="1:7">
      <c r="A234" s="1" t="s">
        <v>36</v>
      </c>
      <c r="B234" s="1" t="s">
        <v>41</v>
      </c>
      <c r="C234" s="2" t="s">
        <v>26</v>
      </c>
      <c r="D234" s="5">
        <v>1.40666666666667E-2</v>
      </c>
      <c r="E234" s="5">
        <v>-2.12500000000004E-4</v>
      </c>
      <c r="F234" s="5">
        <f t="shared" si="6"/>
        <v>1.4279166666666704E-2</v>
      </c>
      <c r="G234">
        <f t="shared" si="7"/>
        <v>4.6121708333333444</v>
      </c>
    </row>
    <row r="235" spans="1:7">
      <c r="A235" s="1" t="s">
        <v>36</v>
      </c>
      <c r="B235" s="1" t="s">
        <v>41</v>
      </c>
      <c r="C235" s="2" t="s">
        <v>27</v>
      </c>
      <c r="D235" s="5">
        <v>1.2966666666666699E-2</v>
      </c>
      <c r="E235" s="5">
        <v>-2.1124999999999998E-3</v>
      </c>
      <c r="F235" s="5">
        <f t="shared" si="6"/>
        <v>1.5079166666666699E-2</v>
      </c>
      <c r="G235">
        <f t="shared" si="7"/>
        <v>4.8705708333333435</v>
      </c>
    </row>
    <row r="236" spans="1:7">
      <c r="A236" s="1" t="s">
        <v>36</v>
      </c>
      <c r="B236" s="1" t="s">
        <v>42</v>
      </c>
      <c r="C236" s="2" t="s">
        <v>4</v>
      </c>
      <c r="D236" s="5">
        <v>1.50666666666667E-2</v>
      </c>
      <c r="E236" s="5">
        <v>3.8749999999999202E-4</v>
      </c>
      <c r="F236" s="5">
        <f t="shared" si="6"/>
        <v>1.4679166666666708E-2</v>
      </c>
      <c r="G236">
        <f t="shared" si="7"/>
        <v>4.7413708333333462</v>
      </c>
    </row>
    <row r="237" spans="1:7">
      <c r="A237" s="1" t="s">
        <v>36</v>
      </c>
      <c r="B237" s="1" t="s">
        <v>42</v>
      </c>
      <c r="C237" s="2" t="s">
        <v>6</v>
      </c>
      <c r="D237" s="5">
        <v>1.96666666666667E-2</v>
      </c>
      <c r="E237" s="5">
        <v>2.3874999999999899E-3</v>
      </c>
      <c r="F237" s="5">
        <f t="shared" si="6"/>
        <v>1.727916666666671E-2</v>
      </c>
      <c r="G237">
        <f t="shared" si="7"/>
        <v>5.5811708333333465</v>
      </c>
    </row>
    <row r="238" spans="1:7">
      <c r="A238" s="1" t="s">
        <v>36</v>
      </c>
      <c r="B238" s="1" t="s">
        <v>42</v>
      </c>
      <c r="C238" s="2" t="s">
        <v>7</v>
      </c>
      <c r="D238" s="5">
        <v>1.53666666666667E-2</v>
      </c>
      <c r="E238" s="5">
        <v>-1.2500000000005599E-5</v>
      </c>
      <c r="F238" s="5">
        <f t="shared" si="6"/>
        <v>1.5379166666666706E-2</v>
      </c>
      <c r="G238">
        <f t="shared" si="7"/>
        <v>4.967470833333345</v>
      </c>
    </row>
    <row r="239" spans="1:7">
      <c r="A239" s="1" t="s">
        <v>36</v>
      </c>
      <c r="B239" s="1" t="s">
        <v>42</v>
      </c>
      <c r="C239" s="2" t="s">
        <v>8</v>
      </c>
      <c r="D239" s="5">
        <v>2.03666666666667E-2</v>
      </c>
      <c r="E239" s="5">
        <v>3.8749999999999202E-4</v>
      </c>
      <c r="F239" s="5">
        <f t="shared" si="6"/>
        <v>1.9979166666666708E-2</v>
      </c>
      <c r="G239">
        <f t="shared" si="7"/>
        <v>6.4532708333333453</v>
      </c>
    </row>
    <row r="240" spans="1:7">
      <c r="A240" s="1" t="s">
        <v>36</v>
      </c>
      <c r="B240" s="1" t="s">
        <v>42</v>
      </c>
      <c r="C240" s="2" t="s">
        <v>10</v>
      </c>
      <c r="D240" s="5">
        <v>1.6766666666666701E-2</v>
      </c>
      <c r="E240" s="5" t="s">
        <v>69</v>
      </c>
      <c r="F240" s="5">
        <f t="shared" si="6"/>
        <v>1.6679166666666703E-2</v>
      </c>
      <c r="G240">
        <f t="shared" si="7"/>
        <v>5.3873708333333443</v>
      </c>
    </row>
    <row r="241" spans="1:7">
      <c r="A241" s="1" t="s">
        <v>36</v>
      </c>
      <c r="B241" s="1" t="s">
        <v>42</v>
      </c>
      <c r="C241" s="2" t="s">
        <v>11</v>
      </c>
      <c r="D241" s="5">
        <v>1.7166666666666702E-2</v>
      </c>
      <c r="E241" s="5">
        <v>-1.6125E-3</v>
      </c>
      <c r="F241" s="5">
        <f t="shared" si="6"/>
        <v>1.8779166666666701E-2</v>
      </c>
      <c r="G241">
        <f t="shared" si="7"/>
        <v>6.0656708333333436</v>
      </c>
    </row>
    <row r="242" spans="1:7">
      <c r="A242" s="1" t="s">
        <v>36</v>
      </c>
      <c r="B242" s="1" t="s">
        <v>42</v>
      </c>
      <c r="C242" s="2" t="s">
        <v>12</v>
      </c>
      <c r="D242" s="5">
        <v>1.6366666666666699E-2</v>
      </c>
      <c r="E242" s="5">
        <v>1.8874999999999901E-3</v>
      </c>
      <c r="F242" s="5">
        <f t="shared" si="6"/>
        <v>1.447916666666671E-2</v>
      </c>
      <c r="G242">
        <f t="shared" si="7"/>
        <v>4.6767708333333466</v>
      </c>
    </row>
    <row r="243" spans="1:7">
      <c r="A243" s="1" t="s">
        <v>36</v>
      </c>
      <c r="B243" s="1" t="s">
        <v>42</v>
      </c>
      <c r="C243" s="2" t="s">
        <v>14</v>
      </c>
      <c r="D243" s="5">
        <v>2.7066666666666701E-2</v>
      </c>
      <c r="E243" s="5">
        <v>8.3874999999999904E-3</v>
      </c>
      <c r="F243" s="5">
        <f t="shared" si="6"/>
        <v>1.8679166666666712E-2</v>
      </c>
      <c r="G243">
        <f t="shared" si="7"/>
        <v>6.0333708333333469</v>
      </c>
    </row>
    <row r="244" spans="1:7">
      <c r="A244" s="1" t="s">
        <v>36</v>
      </c>
      <c r="B244" s="1" t="s">
        <v>42</v>
      </c>
      <c r="C244" s="2" t="s">
        <v>15</v>
      </c>
      <c r="D244" s="5">
        <v>3.0166666666666699E-2</v>
      </c>
      <c r="E244" s="5">
        <v>1.8749999999999301E-4</v>
      </c>
      <c r="F244" s="5">
        <f t="shared" si="6"/>
        <v>2.9979166666666706E-2</v>
      </c>
      <c r="G244">
        <f t="shared" si="7"/>
        <v>9.6832708333333439</v>
      </c>
    </row>
    <row r="245" spans="1:7">
      <c r="A245" s="1" t="s">
        <v>36</v>
      </c>
      <c r="B245" s="1" t="s">
        <v>42</v>
      </c>
      <c r="C245" s="2" t="s">
        <v>16</v>
      </c>
      <c r="D245" s="5">
        <v>2.0666666666666701E-2</v>
      </c>
      <c r="E245" s="5">
        <v>3.8874999999999999E-3</v>
      </c>
      <c r="F245" s="5">
        <f t="shared" si="6"/>
        <v>1.6779166666666703E-2</v>
      </c>
      <c r="G245">
        <f t="shared" si="7"/>
        <v>5.4196708333333437</v>
      </c>
    </row>
    <row r="246" spans="1:7">
      <c r="A246" s="1" t="s">
        <v>36</v>
      </c>
      <c r="B246" s="1" t="s">
        <v>42</v>
      </c>
      <c r="C246" s="2" t="s">
        <v>18</v>
      </c>
      <c r="D246" s="5">
        <v>2.0566666666666698E-2</v>
      </c>
      <c r="E246" s="5">
        <v>1.8874999999999901E-3</v>
      </c>
      <c r="F246" s="5">
        <f t="shared" si="6"/>
        <v>1.8679166666666708E-2</v>
      </c>
      <c r="G246">
        <f t="shared" si="7"/>
        <v>6.0333708333333451</v>
      </c>
    </row>
    <row r="247" spans="1:7">
      <c r="A247" s="1" t="s">
        <v>36</v>
      </c>
      <c r="B247" s="1" t="s">
        <v>42</v>
      </c>
      <c r="C247" s="2" t="s">
        <v>19</v>
      </c>
      <c r="D247" s="5">
        <v>2.02666666666667E-2</v>
      </c>
      <c r="E247" s="5">
        <v>2.8749999999999598E-4</v>
      </c>
      <c r="F247" s="5">
        <f t="shared" si="6"/>
        <v>1.9979166666666704E-2</v>
      </c>
      <c r="G247">
        <f t="shared" si="7"/>
        <v>6.4532708333333444</v>
      </c>
    </row>
    <row r="248" spans="1:7">
      <c r="A248" s="1" t="s">
        <v>36</v>
      </c>
      <c r="B248" s="1" t="s">
        <v>42</v>
      </c>
      <c r="C248" s="2" t="s">
        <v>20</v>
      </c>
      <c r="D248" s="5">
        <v>1.47666666666667E-2</v>
      </c>
      <c r="E248" s="5">
        <v>1.2875E-3</v>
      </c>
      <c r="F248" s="5">
        <f t="shared" si="6"/>
        <v>1.34791666666667E-2</v>
      </c>
      <c r="G248">
        <f t="shared" si="7"/>
        <v>4.3537708333333436</v>
      </c>
    </row>
    <row r="249" spans="1:7">
      <c r="A249" s="1" t="s">
        <v>36</v>
      </c>
      <c r="B249" s="1" t="s">
        <v>42</v>
      </c>
      <c r="C249" s="2" t="s">
        <v>22</v>
      </c>
      <c r="D249" s="5">
        <v>1.9266666666666699E-2</v>
      </c>
      <c r="E249" s="5">
        <v>-2.12500000000004E-4</v>
      </c>
      <c r="F249" s="5">
        <f t="shared" si="6"/>
        <v>1.9479166666666704E-2</v>
      </c>
      <c r="G249">
        <f t="shared" si="7"/>
        <v>6.2917708333333442</v>
      </c>
    </row>
    <row r="250" spans="1:7">
      <c r="A250" s="1" t="s">
        <v>36</v>
      </c>
      <c r="B250" s="1" t="s">
        <v>42</v>
      </c>
      <c r="C250" s="2" t="s">
        <v>23</v>
      </c>
      <c r="D250" s="5">
        <v>1.33666666666667E-2</v>
      </c>
      <c r="E250" s="5">
        <v>-1.0125000000000099E-3</v>
      </c>
      <c r="F250" s="5">
        <f t="shared" si="6"/>
        <v>1.437916666666671E-2</v>
      </c>
      <c r="G250">
        <f t="shared" si="7"/>
        <v>4.6444708333333464</v>
      </c>
    </row>
    <row r="251" spans="1:7">
      <c r="A251" s="1" t="s">
        <v>36</v>
      </c>
      <c r="B251" s="1" t="s">
        <v>42</v>
      </c>
      <c r="C251" s="2" t="s">
        <v>24</v>
      </c>
      <c r="D251" s="5">
        <v>1.2166666666666701E-2</v>
      </c>
      <c r="E251" s="5">
        <v>-6.1250000000000204E-4</v>
      </c>
      <c r="F251" s="5">
        <f t="shared" si="6"/>
        <v>1.2779166666666703E-2</v>
      </c>
      <c r="G251">
        <f t="shared" si="7"/>
        <v>4.1276708333333438</v>
      </c>
    </row>
    <row r="252" spans="1:7">
      <c r="A252" s="1" t="s">
        <v>36</v>
      </c>
      <c r="B252" s="1" t="s">
        <v>42</v>
      </c>
      <c r="C252" s="2" t="s">
        <v>26</v>
      </c>
      <c r="D252" s="5">
        <v>1.80666666666667E-2</v>
      </c>
      <c r="E252" s="5">
        <v>1.3874999999999901E-3</v>
      </c>
      <c r="F252" s="5">
        <f t="shared" si="6"/>
        <v>1.667916666666671E-2</v>
      </c>
      <c r="G252">
        <f t="shared" si="7"/>
        <v>5.387370833333347</v>
      </c>
    </row>
    <row r="253" spans="1:7">
      <c r="A253" s="1" t="s">
        <v>36</v>
      </c>
      <c r="B253" s="1" t="s">
        <v>42</v>
      </c>
      <c r="C253" s="2" t="s">
        <v>27</v>
      </c>
      <c r="D253" s="5">
        <v>1.42666666666667E-2</v>
      </c>
      <c r="E253" s="5">
        <v>-4.1250000000000298E-4</v>
      </c>
      <c r="F253" s="5">
        <f t="shared" si="6"/>
        <v>1.4679166666666703E-2</v>
      </c>
      <c r="G253">
        <f t="shared" si="7"/>
        <v>4.7413708333333444</v>
      </c>
    </row>
    <row r="254" spans="1:7">
      <c r="A254" s="1" t="s">
        <v>36</v>
      </c>
      <c r="B254" s="1" t="s">
        <v>43</v>
      </c>
      <c r="C254" s="2" t="s">
        <v>4</v>
      </c>
      <c r="D254" s="5">
        <v>2.2183333333333301E-2</v>
      </c>
      <c r="E254" s="5">
        <v>5.3208333333333302E-3</v>
      </c>
      <c r="F254" s="5">
        <f t="shared" si="6"/>
        <v>1.6862499999999971E-2</v>
      </c>
      <c r="G254">
        <f t="shared" si="7"/>
        <v>5.446587499999989</v>
      </c>
    </row>
    <row r="255" spans="1:7">
      <c r="A255" s="1" t="s">
        <v>36</v>
      </c>
      <c r="B255" s="1" t="s">
        <v>43</v>
      </c>
      <c r="C255" s="2" t="s">
        <v>6</v>
      </c>
      <c r="D255" s="5">
        <v>2.1583333333333302E-2</v>
      </c>
      <c r="E255" s="5">
        <v>5.2208333333333299E-3</v>
      </c>
      <c r="F255" s="5">
        <f t="shared" si="6"/>
        <v>1.6362499999999971E-2</v>
      </c>
      <c r="G255">
        <f t="shared" si="7"/>
        <v>5.2850874999999897</v>
      </c>
    </row>
    <row r="256" spans="1:7">
      <c r="A256" s="1" t="s">
        <v>36</v>
      </c>
      <c r="B256" s="1" t="s">
        <v>43</v>
      </c>
      <c r="C256" s="2" t="s">
        <v>7</v>
      </c>
      <c r="D256" s="5">
        <v>2.3383333333333301E-2</v>
      </c>
      <c r="E256" s="5">
        <v>3.5208333333333298E-3</v>
      </c>
      <c r="F256" s="5">
        <f t="shared" si="6"/>
        <v>1.986249999999997E-2</v>
      </c>
      <c r="G256">
        <f t="shared" si="7"/>
        <v>6.4155874999999893</v>
      </c>
    </row>
    <row r="257" spans="1:7">
      <c r="A257" s="1" t="s">
        <v>36</v>
      </c>
      <c r="B257" s="1" t="s">
        <v>43</v>
      </c>
      <c r="C257" s="2" t="s">
        <v>8</v>
      </c>
      <c r="D257" s="5">
        <v>1.9683333333333299E-2</v>
      </c>
      <c r="E257" s="5">
        <v>2.6208333333333301E-3</v>
      </c>
      <c r="F257" s="5">
        <f t="shared" si="6"/>
        <v>1.706249999999997E-2</v>
      </c>
      <c r="G257">
        <f t="shared" si="7"/>
        <v>5.5111874999999895</v>
      </c>
    </row>
    <row r="258" spans="1:7">
      <c r="A258" s="1" t="s">
        <v>36</v>
      </c>
      <c r="B258" s="1" t="s">
        <v>43</v>
      </c>
      <c r="C258" s="2" t="s">
        <v>10</v>
      </c>
      <c r="D258" s="5">
        <v>1.6283333333333299E-2</v>
      </c>
      <c r="E258" s="5">
        <v>3.0208333333333298E-3</v>
      </c>
      <c r="F258" s="5">
        <f t="shared" si="6"/>
        <v>1.3262499999999969E-2</v>
      </c>
      <c r="G258">
        <f t="shared" si="7"/>
        <v>4.2837874999999892</v>
      </c>
    </row>
    <row r="259" spans="1:7">
      <c r="A259" s="1" t="s">
        <v>36</v>
      </c>
      <c r="B259" s="1" t="s">
        <v>43</v>
      </c>
      <c r="C259" s="2" t="s">
        <v>11</v>
      </c>
      <c r="D259" s="5">
        <v>2.2583333333333299E-2</v>
      </c>
      <c r="E259" s="5">
        <v>2.2208333333333299E-3</v>
      </c>
      <c r="F259" s="5">
        <f t="shared" ref="F259:F289" si="8">D259-E259</f>
        <v>2.0362499999999971E-2</v>
      </c>
      <c r="G259">
        <f t="shared" ref="G259:G289" si="9">32.3*F259/0.1</f>
        <v>6.5770874999999895</v>
      </c>
    </row>
    <row r="260" spans="1:7">
      <c r="A260" s="1" t="s">
        <v>36</v>
      </c>
      <c r="B260" s="1" t="s">
        <v>43</v>
      </c>
      <c r="C260" s="2" t="s">
        <v>12</v>
      </c>
      <c r="D260" s="5">
        <v>2.12833333333333E-2</v>
      </c>
      <c r="E260" s="5">
        <v>6.0208333333333303E-3</v>
      </c>
      <c r="F260" s="5">
        <f t="shared" si="8"/>
        <v>1.5262499999999971E-2</v>
      </c>
      <c r="G260">
        <f t="shared" si="9"/>
        <v>4.92978749999999</v>
      </c>
    </row>
    <row r="261" spans="1:7">
      <c r="A261" s="1" t="s">
        <v>36</v>
      </c>
      <c r="B261" s="1" t="s">
        <v>43</v>
      </c>
      <c r="C261" s="2" t="s">
        <v>14</v>
      </c>
      <c r="D261" s="5">
        <v>2.2083333333333299E-2</v>
      </c>
      <c r="E261" s="5">
        <v>2.7208333333333299E-3</v>
      </c>
      <c r="F261" s="5">
        <f t="shared" si="8"/>
        <v>1.936249999999997E-2</v>
      </c>
      <c r="G261">
        <f t="shared" si="9"/>
        <v>6.2540874999999891</v>
      </c>
    </row>
    <row r="262" spans="1:7">
      <c r="A262" s="1" t="s">
        <v>36</v>
      </c>
      <c r="B262" s="1" t="s">
        <v>43</v>
      </c>
      <c r="C262" s="2" t="s">
        <v>15</v>
      </c>
      <c r="D262" s="5">
        <v>1.72833333333333E-2</v>
      </c>
      <c r="E262" s="5">
        <v>4.6208333333333301E-3</v>
      </c>
      <c r="F262" s="5">
        <f t="shared" si="8"/>
        <v>1.2662499999999969E-2</v>
      </c>
      <c r="G262">
        <f t="shared" si="9"/>
        <v>4.0899874999999897</v>
      </c>
    </row>
    <row r="263" spans="1:7">
      <c r="A263" s="1" t="s">
        <v>36</v>
      </c>
      <c r="B263" s="1" t="s">
        <v>43</v>
      </c>
      <c r="C263" s="2" t="s">
        <v>16</v>
      </c>
      <c r="D263" s="5">
        <v>1.95833333333333E-2</v>
      </c>
      <c r="E263" s="5">
        <v>3.0208333333333298E-3</v>
      </c>
      <c r="F263" s="5">
        <f t="shared" si="8"/>
        <v>1.656249999999997E-2</v>
      </c>
      <c r="G263">
        <f t="shared" si="9"/>
        <v>5.3496874999999893</v>
      </c>
    </row>
    <row r="264" spans="1:7">
      <c r="A264" s="1" t="s">
        <v>36</v>
      </c>
      <c r="B264" s="1" t="s">
        <v>43</v>
      </c>
      <c r="C264" s="2" t="s">
        <v>18</v>
      </c>
      <c r="D264" s="5">
        <v>2.01833333333333E-2</v>
      </c>
      <c r="E264" s="5">
        <v>3.2208333333333299E-3</v>
      </c>
      <c r="F264" s="5">
        <f t="shared" si="8"/>
        <v>1.6962499999999971E-2</v>
      </c>
      <c r="G264">
        <f t="shared" si="9"/>
        <v>5.4788874999999901</v>
      </c>
    </row>
    <row r="265" spans="1:7">
      <c r="A265" s="1" t="s">
        <v>36</v>
      </c>
      <c r="B265" s="1" t="s">
        <v>43</v>
      </c>
      <c r="C265" s="2" t="s">
        <v>19</v>
      </c>
      <c r="D265" s="5">
        <v>1.6983333333333302E-2</v>
      </c>
      <c r="E265" s="5">
        <v>2.3208333333333301E-3</v>
      </c>
      <c r="F265" s="5">
        <f t="shared" si="8"/>
        <v>1.4662499999999971E-2</v>
      </c>
      <c r="G265">
        <f t="shared" si="9"/>
        <v>4.7359874999999896</v>
      </c>
    </row>
    <row r="266" spans="1:7">
      <c r="A266" s="1" t="s">
        <v>36</v>
      </c>
      <c r="B266" s="1" t="s">
        <v>43</v>
      </c>
      <c r="C266" s="2" t="s">
        <v>20</v>
      </c>
      <c r="D266" s="5">
        <v>2.1183333333333301E-2</v>
      </c>
      <c r="E266" s="5">
        <v>3.42083333333333E-3</v>
      </c>
      <c r="F266" s="5">
        <f t="shared" si="8"/>
        <v>1.7762499999999969E-2</v>
      </c>
      <c r="G266">
        <f t="shared" si="9"/>
        <v>5.7372874999999901</v>
      </c>
    </row>
    <row r="267" spans="1:7">
      <c r="A267" s="1" t="s">
        <v>36</v>
      </c>
      <c r="B267" s="1" t="s">
        <v>43</v>
      </c>
      <c r="C267" s="2" t="s">
        <v>22</v>
      </c>
      <c r="D267" s="5">
        <v>1.83833333333333E-2</v>
      </c>
      <c r="E267" s="5">
        <v>4.2208333333333299E-3</v>
      </c>
      <c r="F267" s="5">
        <f t="shared" si="8"/>
        <v>1.416249999999997E-2</v>
      </c>
      <c r="G267">
        <f t="shared" si="9"/>
        <v>4.5744874999999903</v>
      </c>
    </row>
    <row r="268" spans="1:7">
      <c r="A268" s="1" t="s">
        <v>36</v>
      </c>
      <c r="B268" s="1" t="s">
        <v>43</v>
      </c>
      <c r="C268" s="2" t="s">
        <v>23</v>
      </c>
      <c r="D268" s="5">
        <v>2.70833333333333E-2</v>
      </c>
      <c r="E268" s="5">
        <v>1.0120833333333299E-2</v>
      </c>
      <c r="F268" s="5">
        <f t="shared" si="8"/>
        <v>1.6962499999999998E-2</v>
      </c>
      <c r="G268">
        <f t="shared" si="9"/>
        <v>5.478887499999999</v>
      </c>
    </row>
    <row r="269" spans="1:7">
      <c r="A269" s="1" t="s">
        <v>36</v>
      </c>
      <c r="B269" s="1" t="s">
        <v>43</v>
      </c>
      <c r="C269" s="2" t="s">
        <v>24</v>
      </c>
      <c r="D269" s="5">
        <v>1.9983333333333301E-2</v>
      </c>
      <c r="E269" s="5">
        <v>3.1208333333333301E-3</v>
      </c>
      <c r="F269" s="5">
        <f t="shared" si="8"/>
        <v>1.6862499999999971E-2</v>
      </c>
      <c r="G269">
        <f t="shared" si="9"/>
        <v>5.446587499999989</v>
      </c>
    </row>
    <row r="270" spans="1:7">
      <c r="A270" s="1" t="s">
        <v>36</v>
      </c>
      <c r="B270" s="1" t="s">
        <v>43</v>
      </c>
      <c r="C270" s="2" t="s">
        <v>26</v>
      </c>
      <c r="D270" s="5">
        <v>3.3783333333333297E-2</v>
      </c>
      <c r="E270" s="5">
        <v>6.22083333333333E-3</v>
      </c>
      <c r="F270" s="5">
        <f t="shared" si="8"/>
        <v>2.7562499999999969E-2</v>
      </c>
      <c r="G270">
        <f t="shared" si="9"/>
        <v>8.9026874999999883</v>
      </c>
    </row>
    <row r="271" spans="1:7">
      <c r="A271" s="1" t="s">
        <v>36</v>
      </c>
      <c r="B271" s="1" t="s">
        <v>43</v>
      </c>
      <c r="C271" s="2" t="s">
        <v>27</v>
      </c>
      <c r="D271" s="5">
        <v>2.6783333333333301E-2</v>
      </c>
      <c r="E271" s="5">
        <v>2.3208333333333301E-3</v>
      </c>
      <c r="F271" s="5">
        <f t="shared" si="8"/>
        <v>2.446249999999997E-2</v>
      </c>
      <c r="G271">
        <f t="shared" si="9"/>
        <v>7.9013874999999896</v>
      </c>
    </row>
    <row r="272" spans="1:7">
      <c r="A272" s="1" t="s">
        <v>36</v>
      </c>
      <c r="B272" s="1" t="s">
        <v>44</v>
      </c>
      <c r="C272" s="2" t="s">
        <v>4</v>
      </c>
      <c r="D272" s="5">
        <v>2.01833333333333E-2</v>
      </c>
      <c r="E272" s="5">
        <v>4.7208333333333304E-3</v>
      </c>
      <c r="F272" s="5">
        <f t="shared" si="8"/>
        <v>1.5462499999999969E-2</v>
      </c>
      <c r="G272">
        <f t="shared" si="9"/>
        <v>4.9943874999999895</v>
      </c>
    </row>
    <row r="273" spans="1:7">
      <c r="A273" s="1" t="s">
        <v>36</v>
      </c>
      <c r="B273" s="1" t="s">
        <v>44</v>
      </c>
      <c r="C273" s="2" t="s">
        <v>6</v>
      </c>
      <c r="D273" s="5">
        <v>1.8283333333333301E-2</v>
      </c>
      <c r="E273" s="5">
        <v>3.42083333333333E-3</v>
      </c>
      <c r="F273" s="5">
        <f t="shared" si="8"/>
        <v>1.4862499999999971E-2</v>
      </c>
      <c r="G273">
        <f t="shared" si="9"/>
        <v>4.80058749999999</v>
      </c>
    </row>
    <row r="274" spans="1:7">
      <c r="A274" s="1" t="s">
        <v>36</v>
      </c>
      <c r="B274" s="1" t="s">
        <v>44</v>
      </c>
      <c r="C274" s="2" t="s">
        <v>7</v>
      </c>
      <c r="D274" s="5">
        <v>1.8683333333333298E-2</v>
      </c>
      <c r="E274" s="5">
        <v>3.2208333333333299E-3</v>
      </c>
      <c r="F274" s="5">
        <f t="shared" si="8"/>
        <v>1.5462499999999969E-2</v>
      </c>
      <c r="G274">
        <f t="shared" si="9"/>
        <v>4.9943874999999895</v>
      </c>
    </row>
    <row r="275" spans="1:7">
      <c r="A275" s="1" t="s">
        <v>36</v>
      </c>
      <c r="B275" s="1" t="s">
        <v>44</v>
      </c>
      <c r="C275" s="2" t="s">
        <v>8</v>
      </c>
      <c r="D275" s="5">
        <v>2.2183333333333301E-2</v>
      </c>
      <c r="E275" s="5">
        <v>3.5208333333333298E-3</v>
      </c>
      <c r="F275" s="5">
        <f t="shared" si="8"/>
        <v>1.8662499999999971E-2</v>
      </c>
      <c r="G275">
        <f t="shared" si="9"/>
        <v>6.0279874999999903</v>
      </c>
    </row>
    <row r="276" spans="1:7">
      <c r="A276" s="1" t="s">
        <v>36</v>
      </c>
      <c r="B276" s="1" t="s">
        <v>44</v>
      </c>
      <c r="C276" s="2" t="s">
        <v>10</v>
      </c>
      <c r="D276" s="5">
        <v>2.0583333333333301E-2</v>
      </c>
      <c r="E276" s="5">
        <v>4.3208333333333302E-3</v>
      </c>
      <c r="F276" s="5">
        <f t="shared" si="8"/>
        <v>1.6262499999999971E-2</v>
      </c>
      <c r="G276">
        <f t="shared" si="9"/>
        <v>5.2527874999999895</v>
      </c>
    </row>
    <row r="277" spans="1:7">
      <c r="A277" s="1" t="s">
        <v>36</v>
      </c>
      <c r="B277" s="1" t="s">
        <v>44</v>
      </c>
      <c r="C277" s="2" t="s">
        <v>11</v>
      </c>
      <c r="D277" s="5">
        <v>1.9883333333333301E-2</v>
      </c>
      <c r="E277" s="5">
        <v>4.8208333333333298E-3</v>
      </c>
      <c r="F277" s="5">
        <f t="shared" si="8"/>
        <v>1.5062499999999972E-2</v>
      </c>
      <c r="G277">
        <f t="shared" si="9"/>
        <v>4.8651874999999905</v>
      </c>
    </row>
    <row r="278" spans="1:7">
      <c r="A278" s="1" t="s">
        <v>36</v>
      </c>
      <c r="B278" s="1" t="s">
        <v>44</v>
      </c>
      <c r="C278" s="2" t="s">
        <v>12</v>
      </c>
      <c r="D278" s="5">
        <v>1.5983333333333301E-2</v>
      </c>
      <c r="E278" s="5">
        <v>2.8208333333333301E-3</v>
      </c>
      <c r="F278" s="5">
        <f t="shared" si="8"/>
        <v>1.3162499999999971E-2</v>
      </c>
      <c r="G278">
        <f t="shared" si="9"/>
        <v>4.2514874999999899</v>
      </c>
    </row>
    <row r="279" spans="1:7">
      <c r="A279" s="1" t="s">
        <v>36</v>
      </c>
      <c r="B279" s="1" t="s">
        <v>44</v>
      </c>
      <c r="C279" s="2" t="s">
        <v>14</v>
      </c>
      <c r="D279" s="5">
        <v>2.63833333333333E-2</v>
      </c>
      <c r="E279" s="5">
        <v>5.92083333333333E-3</v>
      </c>
      <c r="F279" s="5">
        <f t="shared" si="8"/>
        <v>2.046249999999997E-2</v>
      </c>
      <c r="G279">
        <f t="shared" si="9"/>
        <v>6.6093874999999898</v>
      </c>
    </row>
    <row r="280" spans="1:7">
      <c r="A280" s="1" t="s">
        <v>36</v>
      </c>
      <c r="B280" s="1" t="s">
        <v>44</v>
      </c>
      <c r="C280" s="2" t="s">
        <v>15</v>
      </c>
      <c r="D280" s="5">
        <v>2.1683333333333301E-2</v>
      </c>
      <c r="E280" s="5">
        <v>3.5208333333333298E-3</v>
      </c>
      <c r="F280" s="5">
        <f t="shared" si="8"/>
        <v>1.816249999999997E-2</v>
      </c>
      <c r="G280">
        <f t="shared" si="9"/>
        <v>5.8664874999999892</v>
      </c>
    </row>
    <row r="281" spans="1:7">
      <c r="A281" s="1" t="s">
        <v>36</v>
      </c>
      <c r="B281" s="1" t="s">
        <v>44</v>
      </c>
      <c r="C281" s="2" t="s">
        <v>16</v>
      </c>
      <c r="D281" s="5">
        <v>2.24833333333333E-2</v>
      </c>
      <c r="E281" s="5">
        <v>4.5208333333333402E-3</v>
      </c>
      <c r="F281" s="5">
        <f t="shared" si="8"/>
        <v>1.7962499999999958E-2</v>
      </c>
      <c r="G281">
        <f t="shared" si="9"/>
        <v>5.8018874999999852</v>
      </c>
    </row>
    <row r="282" spans="1:7">
      <c r="A282" s="1" t="s">
        <v>36</v>
      </c>
      <c r="B282" s="1" t="s">
        <v>44</v>
      </c>
      <c r="C282" s="2" t="s">
        <v>18</v>
      </c>
      <c r="D282" s="5">
        <v>2.3083333333333299E-2</v>
      </c>
      <c r="E282" s="5">
        <v>2.92083333333333E-3</v>
      </c>
      <c r="F282" s="5">
        <f t="shared" si="8"/>
        <v>2.0162499999999969E-2</v>
      </c>
      <c r="G282">
        <f t="shared" si="9"/>
        <v>6.5124874999999891</v>
      </c>
    </row>
    <row r="283" spans="1:7">
      <c r="A283" s="1" t="s">
        <v>36</v>
      </c>
      <c r="B283" s="1" t="s">
        <v>44</v>
      </c>
      <c r="C283" s="2" t="s">
        <v>19</v>
      </c>
      <c r="D283" s="5">
        <v>2.1583333333333302E-2</v>
      </c>
      <c r="E283" s="5">
        <v>3.42083333333333E-3</v>
      </c>
      <c r="F283" s="5">
        <f t="shared" si="8"/>
        <v>1.816249999999997E-2</v>
      </c>
      <c r="G283">
        <f t="shared" si="9"/>
        <v>5.8664874999999892</v>
      </c>
    </row>
    <row r="284" spans="1:7">
      <c r="A284" s="1" t="s">
        <v>36</v>
      </c>
      <c r="B284" s="1" t="s">
        <v>44</v>
      </c>
      <c r="C284" s="2" t="s">
        <v>20</v>
      </c>
      <c r="D284" s="5">
        <v>2.7683333333333299E-2</v>
      </c>
      <c r="E284" s="5">
        <v>2.6208333333333301E-3</v>
      </c>
      <c r="F284" s="5">
        <f t="shared" si="8"/>
        <v>2.506249999999997E-2</v>
      </c>
      <c r="G284">
        <f t="shared" si="9"/>
        <v>8.0951874999999891</v>
      </c>
    </row>
    <row r="285" spans="1:7">
      <c r="A285" s="1" t="s">
        <v>36</v>
      </c>
      <c r="B285" s="1" t="s">
        <v>44</v>
      </c>
      <c r="C285" s="2" t="s">
        <v>22</v>
      </c>
      <c r="D285" s="5">
        <v>2.6783333333333301E-2</v>
      </c>
      <c r="E285" s="5">
        <v>3.8208333333333302E-3</v>
      </c>
      <c r="F285" s="5">
        <f t="shared" si="8"/>
        <v>2.2962499999999973E-2</v>
      </c>
      <c r="G285">
        <f t="shared" si="9"/>
        <v>7.4168874999999899</v>
      </c>
    </row>
    <row r="286" spans="1:7">
      <c r="A286" s="1" t="s">
        <v>36</v>
      </c>
      <c r="B286" s="1" t="s">
        <v>44</v>
      </c>
      <c r="C286" s="2" t="s">
        <v>23</v>
      </c>
      <c r="D286" s="5">
        <v>2.5683333333333301E-2</v>
      </c>
      <c r="E286" s="5">
        <v>3.92083333333333E-3</v>
      </c>
      <c r="F286" s="5">
        <f t="shared" si="8"/>
        <v>2.1762499999999969E-2</v>
      </c>
      <c r="G286">
        <f t="shared" si="9"/>
        <v>7.0292874999999899</v>
      </c>
    </row>
    <row r="287" spans="1:7">
      <c r="A287" s="1" t="s">
        <v>36</v>
      </c>
      <c r="B287" s="1" t="s">
        <v>44</v>
      </c>
      <c r="C287" s="2" t="s">
        <v>24</v>
      </c>
      <c r="D287" s="5">
        <v>1.9983333333333301E-2</v>
      </c>
      <c r="E287" s="5">
        <v>4.1208333333333296E-3</v>
      </c>
      <c r="F287" s="5">
        <f t="shared" si="8"/>
        <v>1.586249999999997E-2</v>
      </c>
      <c r="G287">
        <f t="shared" si="9"/>
        <v>5.1235874999999895</v>
      </c>
    </row>
    <row r="288" spans="1:7">
      <c r="A288" s="1" t="s">
        <v>36</v>
      </c>
      <c r="B288" s="1" t="s">
        <v>44</v>
      </c>
      <c r="C288" s="2" t="s">
        <v>26</v>
      </c>
      <c r="D288" s="5">
        <v>1.6583333333333301E-2</v>
      </c>
      <c r="E288" s="5">
        <v>2.92083333333333E-3</v>
      </c>
      <c r="F288" s="5">
        <f t="shared" si="8"/>
        <v>1.366249999999997E-2</v>
      </c>
      <c r="G288">
        <f t="shared" si="9"/>
        <v>4.4129874999999892</v>
      </c>
    </row>
    <row r="289" spans="1:7">
      <c r="A289" s="1" t="s">
        <v>36</v>
      </c>
      <c r="B289" s="1" t="s">
        <v>44</v>
      </c>
      <c r="C289" s="2" t="s">
        <v>27</v>
      </c>
      <c r="D289" s="5">
        <v>1.71833333333333E-2</v>
      </c>
      <c r="E289" s="5">
        <v>2.92083333333333E-3</v>
      </c>
      <c r="F289" s="5">
        <f t="shared" si="8"/>
        <v>1.426249999999997E-2</v>
      </c>
      <c r="G289">
        <f t="shared" si="9"/>
        <v>4.6067874999999896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67A2-05A0-3D4E-8285-36CB5D649A31}">
  <dimension ref="A1:H289"/>
  <sheetViews>
    <sheetView zoomScale="134" workbookViewId="0">
      <selection activeCell="G2" sqref="G2"/>
    </sheetView>
  </sheetViews>
  <sheetFormatPr baseColWidth="10" defaultRowHeight="16"/>
  <cols>
    <col min="1" max="3" width="10.83203125" style="1"/>
    <col min="4" max="6" width="10.83203125" style="5"/>
  </cols>
  <sheetData>
    <row r="1" spans="1:8">
      <c r="A1" s="1" t="s">
        <v>0</v>
      </c>
      <c r="B1" s="1" t="s">
        <v>1</v>
      </c>
      <c r="C1" s="1" t="s">
        <v>3</v>
      </c>
      <c r="D1" s="7">
        <v>532</v>
      </c>
      <c r="E1" s="7">
        <v>600</v>
      </c>
      <c r="F1" s="4" t="s">
        <v>58</v>
      </c>
      <c r="G1" s="1" t="s">
        <v>62</v>
      </c>
      <c r="H1" s="1"/>
    </row>
    <row r="2" spans="1:8">
      <c r="A2" s="1" t="s">
        <v>35</v>
      </c>
      <c r="B2" s="1" t="s">
        <v>28</v>
      </c>
      <c r="C2" s="1" t="s">
        <v>5</v>
      </c>
      <c r="D2" s="5">
        <v>4.16333333333333E-2</v>
      </c>
      <c r="E2" s="5">
        <v>7.2333333333333303E-3</v>
      </c>
      <c r="F2" s="5">
        <f>D2-E2</f>
        <v>3.4399999999999972E-2</v>
      </c>
      <c r="G2">
        <f>32.3*F2/0.1</f>
        <v>11.11119999999999</v>
      </c>
    </row>
    <row r="3" spans="1:8">
      <c r="A3" s="1" t="s">
        <v>35</v>
      </c>
      <c r="B3" s="1" t="s">
        <v>28</v>
      </c>
      <c r="C3" s="1" t="s">
        <v>6</v>
      </c>
      <c r="D3" s="5">
        <v>3.9833333333333297E-2</v>
      </c>
      <c r="E3" s="5">
        <v>7.3333333333333401E-3</v>
      </c>
      <c r="F3" s="5">
        <f t="shared" ref="F3:F66" si="0">D3-E3</f>
        <v>3.2499999999999959E-2</v>
      </c>
      <c r="G3">
        <f t="shared" ref="G3:G66" si="1">32.3*F3/0.1</f>
        <v>10.497499999999986</v>
      </c>
    </row>
    <row r="4" spans="1:8">
      <c r="A4" s="1" t="s">
        <v>35</v>
      </c>
      <c r="B4" s="1" t="s">
        <v>28</v>
      </c>
      <c r="C4" s="1" t="s">
        <v>7</v>
      </c>
      <c r="D4" s="5">
        <v>2.9833333333333299E-2</v>
      </c>
      <c r="E4" s="5">
        <v>3.8333333333333301E-3</v>
      </c>
      <c r="F4" s="5">
        <f t="shared" si="0"/>
        <v>2.5999999999999968E-2</v>
      </c>
      <c r="G4">
        <f t="shared" si="1"/>
        <v>8.397999999999989</v>
      </c>
    </row>
    <row r="5" spans="1:8">
      <c r="A5" s="1" t="s">
        <v>35</v>
      </c>
      <c r="B5" s="1" t="s">
        <v>28</v>
      </c>
      <c r="C5" s="1" t="s">
        <v>9</v>
      </c>
      <c r="D5" s="5">
        <v>3.3033333333333303E-2</v>
      </c>
      <c r="E5" s="5">
        <v>5.4333333333333299E-3</v>
      </c>
      <c r="F5" s="5">
        <f t="shared" si="0"/>
        <v>2.7599999999999972E-2</v>
      </c>
      <c r="G5">
        <f t="shared" si="1"/>
        <v>8.9147999999999907</v>
      </c>
    </row>
    <row r="6" spans="1:8">
      <c r="A6" s="1" t="s">
        <v>35</v>
      </c>
      <c r="B6" s="1" t="s">
        <v>28</v>
      </c>
      <c r="C6" s="1" t="s">
        <v>10</v>
      </c>
      <c r="D6" s="5">
        <v>3.7433333333333298E-2</v>
      </c>
      <c r="E6" s="5">
        <v>5.63333333333334E-3</v>
      </c>
      <c r="F6" s="5">
        <f t="shared" si="0"/>
        <v>3.179999999999996E-2</v>
      </c>
      <c r="G6">
        <f t="shared" si="1"/>
        <v>10.271399999999986</v>
      </c>
    </row>
    <row r="7" spans="1:8">
      <c r="A7" s="1" t="s">
        <v>35</v>
      </c>
      <c r="B7" s="1" t="s">
        <v>28</v>
      </c>
      <c r="C7" s="1" t="s">
        <v>11</v>
      </c>
      <c r="D7" s="5">
        <v>4.96333333333333E-2</v>
      </c>
      <c r="E7" s="5">
        <v>1.35333333333333E-2</v>
      </c>
      <c r="F7" s="5">
        <f t="shared" si="0"/>
        <v>3.61E-2</v>
      </c>
      <c r="G7">
        <f t="shared" si="1"/>
        <v>11.660299999999998</v>
      </c>
    </row>
    <row r="8" spans="1:8">
      <c r="A8" s="1" t="s">
        <v>35</v>
      </c>
      <c r="B8" s="1" t="s">
        <v>28</v>
      </c>
      <c r="C8" s="1" t="s">
        <v>13</v>
      </c>
      <c r="D8" s="5">
        <v>4.7733333333333301E-2</v>
      </c>
      <c r="E8" s="5">
        <v>8.8333333333333302E-3</v>
      </c>
      <c r="F8" s="5">
        <f t="shared" si="0"/>
        <v>3.8899999999999969E-2</v>
      </c>
      <c r="G8">
        <f t="shared" si="1"/>
        <v>12.564699999999988</v>
      </c>
    </row>
    <row r="9" spans="1:8">
      <c r="A9" s="1" t="s">
        <v>35</v>
      </c>
      <c r="B9" s="1" t="s">
        <v>28</v>
      </c>
      <c r="C9" s="1" t="s">
        <v>14</v>
      </c>
      <c r="D9" s="5">
        <v>3.9133333333333298E-2</v>
      </c>
      <c r="E9" s="5">
        <v>5.3333333333333401E-3</v>
      </c>
      <c r="F9" s="5">
        <f t="shared" si="0"/>
        <v>3.3799999999999955E-2</v>
      </c>
      <c r="G9">
        <f t="shared" si="1"/>
        <v>10.917399999999983</v>
      </c>
    </row>
    <row r="10" spans="1:8">
      <c r="A10" s="1" t="s">
        <v>35</v>
      </c>
      <c r="B10" s="1" t="s">
        <v>28</v>
      </c>
      <c r="C10" s="1" t="s">
        <v>15</v>
      </c>
      <c r="D10" s="5">
        <v>5.8533333333333298E-2</v>
      </c>
      <c r="E10" s="5">
        <v>9.0333333333333307E-3</v>
      </c>
      <c r="F10" s="5">
        <f t="shared" si="0"/>
        <v>4.9499999999999968E-2</v>
      </c>
      <c r="G10">
        <f t="shared" si="1"/>
        <v>15.988499999999988</v>
      </c>
    </row>
    <row r="11" spans="1:8">
      <c r="A11" s="1" t="s">
        <v>35</v>
      </c>
      <c r="B11" s="1" t="s">
        <v>28</v>
      </c>
      <c r="C11" s="1" t="s">
        <v>17</v>
      </c>
      <c r="D11" s="5">
        <v>7.9733333333333295E-2</v>
      </c>
      <c r="E11" s="5">
        <v>3.7733333333333299E-2</v>
      </c>
      <c r="F11" s="5">
        <f t="shared" si="0"/>
        <v>4.1999999999999996E-2</v>
      </c>
      <c r="G11">
        <f t="shared" si="1"/>
        <v>13.565999999999997</v>
      </c>
    </row>
    <row r="12" spans="1:8">
      <c r="A12" s="1" t="s">
        <v>35</v>
      </c>
      <c r="B12" s="1" t="s">
        <v>28</v>
      </c>
      <c r="C12" s="1" t="s">
        <v>18</v>
      </c>
      <c r="D12" s="5">
        <v>5.0533333333333298E-2</v>
      </c>
      <c r="E12" s="5">
        <v>9.5333333333333294E-3</v>
      </c>
      <c r="F12" s="5">
        <f t="shared" si="0"/>
        <v>4.0999999999999967E-2</v>
      </c>
      <c r="G12">
        <f t="shared" si="1"/>
        <v>13.242999999999988</v>
      </c>
    </row>
    <row r="13" spans="1:8">
      <c r="A13" s="1" t="s">
        <v>35</v>
      </c>
      <c r="B13" s="1" t="s">
        <v>28</v>
      </c>
      <c r="C13" s="1" t="s">
        <v>19</v>
      </c>
      <c r="D13" s="5">
        <v>2.8933333333333301E-2</v>
      </c>
      <c r="E13" s="5">
        <v>3.7333333333333298E-3</v>
      </c>
      <c r="F13" s="5">
        <f t="shared" si="0"/>
        <v>2.5199999999999972E-2</v>
      </c>
      <c r="G13">
        <f t="shared" si="1"/>
        <v>8.1395999999999891</v>
      </c>
    </row>
    <row r="14" spans="1:8">
      <c r="A14" s="1" t="s">
        <v>35</v>
      </c>
      <c r="B14" s="1" t="s">
        <v>28</v>
      </c>
      <c r="C14" s="1" t="s">
        <v>21</v>
      </c>
      <c r="D14" s="5">
        <v>3.6933333333333297E-2</v>
      </c>
      <c r="E14" s="5">
        <v>5.8333333333333397E-3</v>
      </c>
      <c r="F14" s="5">
        <f t="shared" si="0"/>
        <v>3.1099999999999958E-2</v>
      </c>
      <c r="G14">
        <f t="shared" si="1"/>
        <v>10.045299999999985</v>
      </c>
    </row>
    <row r="15" spans="1:8">
      <c r="A15" s="1" t="s">
        <v>35</v>
      </c>
      <c r="B15" s="1" t="s">
        <v>28</v>
      </c>
      <c r="C15" s="1" t="s">
        <v>22</v>
      </c>
      <c r="D15" s="5">
        <v>4.9533333333333297E-2</v>
      </c>
      <c r="E15" s="5">
        <v>9.1333333333333301E-3</v>
      </c>
      <c r="F15" s="5">
        <f t="shared" si="0"/>
        <v>4.0399999999999964E-2</v>
      </c>
      <c r="G15">
        <f t="shared" si="1"/>
        <v>13.049199999999987</v>
      </c>
    </row>
    <row r="16" spans="1:8">
      <c r="A16" s="1" t="s">
        <v>35</v>
      </c>
      <c r="B16" s="1" t="s">
        <v>28</v>
      </c>
      <c r="C16" s="1" t="s">
        <v>23</v>
      </c>
      <c r="D16" s="5">
        <v>4.11333333333333E-2</v>
      </c>
      <c r="E16" s="5">
        <v>6.5333333333333398E-3</v>
      </c>
      <c r="F16" s="5">
        <f t="shared" si="0"/>
        <v>3.4599999999999957E-2</v>
      </c>
      <c r="G16">
        <f t="shared" si="1"/>
        <v>11.175799999999985</v>
      </c>
    </row>
    <row r="17" spans="1:7">
      <c r="A17" s="1" t="s">
        <v>35</v>
      </c>
      <c r="B17" s="1" t="s">
        <v>28</v>
      </c>
      <c r="C17" s="1" t="s">
        <v>25</v>
      </c>
      <c r="D17" s="5">
        <v>4.6333333333333303E-2</v>
      </c>
      <c r="E17" s="5">
        <v>9.4333333333333404E-3</v>
      </c>
      <c r="F17" s="5">
        <f t="shared" si="0"/>
        <v>3.6899999999999961E-2</v>
      </c>
      <c r="G17">
        <f t="shared" si="1"/>
        <v>11.918699999999985</v>
      </c>
    </row>
    <row r="18" spans="1:7">
      <c r="A18" s="1" t="s">
        <v>35</v>
      </c>
      <c r="B18" s="1" t="s">
        <v>28</v>
      </c>
      <c r="C18" s="1" t="s">
        <v>26</v>
      </c>
      <c r="D18" s="5">
        <v>5.1133333333333301E-2</v>
      </c>
      <c r="E18" s="5">
        <v>1.3633333333333299E-2</v>
      </c>
      <c r="F18" s="5">
        <f t="shared" si="0"/>
        <v>3.7500000000000006E-2</v>
      </c>
      <c r="G18">
        <f t="shared" si="1"/>
        <v>12.112500000000001</v>
      </c>
    </row>
    <row r="19" spans="1:7">
      <c r="A19" s="1" t="s">
        <v>35</v>
      </c>
      <c r="B19" s="1" t="s">
        <v>28</v>
      </c>
      <c r="C19" s="1" t="s">
        <v>27</v>
      </c>
      <c r="D19" s="5">
        <v>5.5333333333333297E-2</v>
      </c>
      <c r="E19" s="5">
        <v>1.0533333333333301E-2</v>
      </c>
      <c r="F19" s="5">
        <f t="shared" si="0"/>
        <v>4.4799999999999993E-2</v>
      </c>
      <c r="G19">
        <f t="shared" si="1"/>
        <v>14.470399999999996</v>
      </c>
    </row>
    <row r="20" spans="1:7">
      <c r="A20" s="1" t="s">
        <v>35</v>
      </c>
      <c r="B20" s="1" t="s">
        <v>2</v>
      </c>
      <c r="C20" s="1" t="s">
        <v>5</v>
      </c>
      <c r="D20" s="5">
        <v>5.1975E-2</v>
      </c>
      <c r="E20" s="5">
        <v>9.1208333333333402E-3</v>
      </c>
      <c r="F20" s="5">
        <f t="shared" si="0"/>
        <v>4.2854166666666658E-2</v>
      </c>
      <c r="G20">
        <f t="shared" si="1"/>
        <v>13.841895833333329</v>
      </c>
    </row>
    <row r="21" spans="1:7">
      <c r="A21" s="1" t="s">
        <v>35</v>
      </c>
      <c r="B21" s="1" t="s">
        <v>2</v>
      </c>
      <c r="C21" s="1" t="s">
        <v>6</v>
      </c>
      <c r="D21" s="5">
        <v>5.7575000000000001E-2</v>
      </c>
      <c r="E21" s="5">
        <v>2.5520833333333302E-2</v>
      </c>
      <c r="F21" s="5">
        <f t="shared" si="0"/>
        <v>3.2054166666666703E-2</v>
      </c>
      <c r="G21">
        <f t="shared" si="1"/>
        <v>10.353495833333342</v>
      </c>
    </row>
    <row r="22" spans="1:7">
      <c r="A22" s="1" t="s">
        <v>35</v>
      </c>
      <c r="B22" s="1" t="s">
        <v>2</v>
      </c>
      <c r="C22" s="1" t="s">
        <v>7</v>
      </c>
      <c r="D22" s="5">
        <v>6.1374999999999999E-2</v>
      </c>
      <c r="E22" s="5">
        <v>1.9320833333333301E-2</v>
      </c>
      <c r="F22" s="5">
        <f t="shared" si="0"/>
        <v>4.2054166666666698E-2</v>
      </c>
      <c r="G22">
        <f t="shared" si="1"/>
        <v>13.583495833333343</v>
      </c>
    </row>
    <row r="23" spans="1:7">
      <c r="A23" s="1" t="s">
        <v>35</v>
      </c>
      <c r="B23" s="1" t="s">
        <v>2</v>
      </c>
      <c r="C23" s="1" t="s">
        <v>9</v>
      </c>
      <c r="D23" s="5">
        <v>4.7074999999999999E-2</v>
      </c>
      <c r="E23" s="5">
        <v>8.0208333333333295E-3</v>
      </c>
      <c r="F23" s="5">
        <f t="shared" si="0"/>
        <v>3.9054166666666668E-2</v>
      </c>
      <c r="G23">
        <f t="shared" si="1"/>
        <v>12.614495833333331</v>
      </c>
    </row>
    <row r="24" spans="1:7">
      <c r="A24" s="1" t="s">
        <v>35</v>
      </c>
      <c r="B24" s="1" t="s">
        <v>2</v>
      </c>
      <c r="C24" s="1" t="s">
        <v>10</v>
      </c>
      <c r="D24" s="5">
        <v>5.7375000000000002E-2</v>
      </c>
      <c r="E24" s="5">
        <v>1.15208333333333E-2</v>
      </c>
      <c r="F24" s="5">
        <f t="shared" si="0"/>
        <v>4.5854166666666703E-2</v>
      </c>
      <c r="G24">
        <f t="shared" si="1"/>
        <v>14.810895833333344</v>
      </c>
    </row>
    <row r="25" spans="1:7">
      <c r="A25" s="1" t="s">
        <v>35</v>
      </c>
      <c r="B25" s="1" t="s">
        <v>2</v>
      </c>
      <c r="C25" s="1" t="s">
        <v>11</v>
      </c>
      <c r="D25" s="5">
        <v>4.8175000000000003E-2</v>
      </c>
      <c r="E25" s="5">
        <v>7.9208333333333301E-3</v>
      </c>
      <c r="F25" s="5">
        <f t="shared" si="0"/>
        <v>4.0254166666666674E-2</v>
      </c>
      <c r="G25">
        <f t="shared" si="1"/>
        <v>13.002095833333334</v>
      </c>
    </row>
    <row r="26" spans="1:7">
      <c r="A26" s="1" t="s">
        <v>35</v>
      </c>
      <c r="B26" s="1" t="s">
        <v>2</v>
      </c>
      <c r="C26" s="1" t="s">
        <v>13</v>
      </c>
      <c r="D26" s="5">
        <v>5.5675000000000002E-2</v>
      </c>
      <c r="E26" s="5">
        <v>1.20208333333333E-2</v>
      </c>
      <c r="F26" s="5">
        <f t="shared" si="0"/>
        <v>4.3654166666666702E-2</v>
      </c>
      <c r="G26">
        <f t="shared" si="1"/>
        <v>14.100295833333343</v>
      </c>
    </row>
    <row r="27" spans="1:7">
      <c r="A27" s="1" t="s">
        <v>35</v>
      </c>
      <c r="B27" s="1" t="s">
        <v>2</v>
      </c>
      <c r="C27" s="1" t="s">
        <v>14</v>
      </c>
      <c r="D27" s="5">
        <v>4.7675000000000002E-2</v>
      </c>
      <c r="E27" s="5">
        <v>7.4208333333333296E-3</v>
      </c>
      <c r="F27" s="5">
        <f t="shared" si="0"/>
        <v>4.0254166666666674E-2</v>
      </c>
      <c r="G27">
        <f t="shared" si="1"/>
        <v>13.002095833333334</v>
      </c>
    </row>
    <row r="28" spans="1:7">
      <c r="A28" s="1" t="s">
        <v>35</v>
      </c>
      <c r="B28" s="1" t="s">
        <v>2</v>
      </c>
      <c r="C28" s="1" t="s">
        <v>15</v>
      </c>
      <c r="D28" s="5">
        <v>4.1775E-2</v>
      </c>
      <c r="E28" s="5">
        <v>4.4208333333333296E-3</v>
      </c>
      <c r="F28" s="5">
        <f t="shared" si="0"/>
        <v>3.7354166666666667E-2</v>
      </c>
      <c r="G28">
        <f t="shared" si="1"/>
        <v>12.065395833333332</v>
      </c>
    </row>
    <row r="29" spans="1:7">
      <c r="A29" s="1" t="s">
        <v>35</v>
      </c>
      <c r="B29" s="1" t="s">
        <v>2</v>
      </c>
      <c r="C29" s="1" t="s">
        <v>17</v>
      </c>
      <c r="D29" s="5">
        <v>4.8675000000000003E-2</v>
      </c>
      <c r="E29" s="5">
        <v>7.7208333333333304E-3</v>
      </c>
      <c r="F29" s="5">
        <f t="shared" si="0"/>
        <v>4.0954166666666673E-2</v>
      </c>
      <c r="G29">
        <f t="shared" si="1"/>
        <v>13.228195833333332</v>
      </c>
    </row>
    <row r="30" spans="1:7">
      <c r="A30" s="1" t="s">
        <v>35</v>
      </c>
      <c r="B30" s="1" t="s">
        <v>2</v>
      </c>
      <c r="C30" s="1" t="s">
        <v>18</v>
      </c>
      <c r="D30" s="5">
        <v>5.2874999999999998E-2</v>
      </c>
      <c r="E30" s="5">
        <v>8.8208333333333298E-3</v>
      </c>
      <c r="F30" s="5">
        <f t="shared" si="0"/>
        <v>4.4054166666666672E-2</v>
      </c>
      <c r="G30">
        <f t="shared" si="1"/>
        <v>14.229495833333333</v>
      </c>
    </row>
    <row r="31" spans="1:7">
      <c r="A31" s="1" t="s">
        <v>35</v>
      </c>
      <c r="B31" s="1" t="s">
        <v>2</v>
      </c>
      <c r="C31" s="1" t="s">
        <v>19</v>
      </c>
      <c r="D31" s="5">
        <v>4.9575000000000001E-2</v>
      </c>
      <c r="E31" s="5">
        <v>1.0220833333333301E-2</v>
      </c>
      <c r="F31" s="5">
        <f t="shared" si="0"/>
        <v>3.9354166666666704E-2</v>
      </c>
      <c r="G31">
        <f t="shared" si="1"/>
        <v>12.711395833333343</v>
      </c>
    </row>
    <row r="32" spans="1:7">
      <c r="A32" s="1" t="s">
        <v>35</v>
      </c>
      <c r="B32" s="1" t="s">
        <v>2</v>
      </c>
      <c r="C32" s="1" t="s">
        <v>21</v>
      </c>
      <c r="D32" s="5">
        <v>3.6575000000000003E-2</v>
      </c>
      <c r="E32" s="5">
        <v>4.3208333333333302E-3</v>
      </c>
      <c r="F32" s="5">
        <f t="shared" si="0"/>
        <v>3.2254166666666674E-2</v>
      </c>
      <c r="G32">
        <f t="shared" si="1"/>
        <v>10.418095833333334</v>
      </c>
    </row>
    <row r="33" spans="1:7">
      <c r="A33" s="1" t="s">
        <v>35</v>
      </c>
      <c r="B33" s="1" t="s">
        <v>2</v>
      </c>
      <c r="C33" s="1" t="s">
        <v>22</v>
      </c>
      <c r="D33" s="5">
        <v>6.5574999999999994E-2</v>
      </c>
      <c r="E33" s="5">
        <v>3.0020833333333299E-2</v>
      </c>
      <c r="F33" s="5">
        <f t="shared" si="0"/>
        <v>3.5554166666666692E-2</v>
      </c>
      <c r="G33">
        <f t="shared" si="1"/>
        <v>11.48399583333334</v>
      </c>
    </row>
    <row r="34" spans="1:7">
      <c r="A34" s="1" t="s">
        <v>35</v>
      </c>
      <c r="B34" s="1" t="s">
        <v>2</v>
      </c>
      <c r="C34" s="1" t="s">
        <v>23</v>
      </c>
      <c r="D34" s="5">
        <v>4.7774999999999998E-2</v>
      </c>
      <c r="E34" s="5">
        <v>7.9208333333333301E-3</v>
      </c>
      <c r="F34" s="5">
        <f t="shared" si="0"/>
        <v>3.985416666666667E-2</v>
      </c>
      <c r="G34">
        <f t="shared" si="1"/>
        <v>12.872895833333333</v>
      </c>
    </row>
    <row r="35" spans="1:7">
      <c r="A35" s="1" t="s">
        <v>35</v>
      </c>
      <c r="B35" s="1" t="s">
        <v>2</v>
      </c>
      <c r="C35" s="1" t="s">
        <v>25</v>
      </c>
      <c r="D35" s="5">
        <v>4.7274999999999998E-2</v>
      </c>
      <c r="E35" s="5">
        <v>7.6208333333333302E-3</v>
      </c>
      <c r="F35" s="5">
        <f t="shared" si="0"/>
        <v>3.9654166666666671E-2</v>
      </c>
      <c r="G35">
        <f t="shared" si="1"/>
        <v>12.808295833333334</v>
      </c>
    </row>
    <row r="36" spans="1:7">
      <c r="A36" s="1" t="s">
        <v>35</v>
      </c>
      <c r="B36" s="1" t="s">
        <v>2</v>
      </c>
      <c r="C36" s="1" t="s">
        <v>26</v>
      </c>
      <c r="D36" s="5">
        <v>4.6074999999999998E-2</v>
      </c>
      <c r="E36" s="5">
        <v>6.7208333333333304E-3</v>
      </c>
      <c r="F36" s="5">
        <f t="shared" si="0"/>
        <v>3.9354166666666669E-2</v>
      </c>
      <c r="G36">
        <f t="shared" si="1"/>
        <v>12.711395833333331</v>
      </c>
    </row>
    <row r="37" spans="1:7">
      <c r="A37" s="1" t="s">
        <v>35</v>
      </c>
      <c r="B37" s="1" t="s">
        <v>2</v>
      </c>
      <c r="C37" s="1" t="s">
        <v>27</v>
      </c>
      <c r="D37" s="5">
        <v>3.2274999999999998E-2</v>
      </c>
      <c r="E37" s="5">
        <v>3.3208333333333302E-3</v>
      </c>
      <c r="F37" s="5">
        <f t="shared" si="0"/>
        <v>2.895416666666667E-2</v>
      </c>
      <c r="G37">
        <f t="shared" si="1"/>
        <v>9.352195833333333</v>
      </c>
    </row>
    <row r="38" spans="1:7">
      <c r="A38" s="1" t="s">
        <v>35</v>
      </c>
      <c r="B38" s="1" t="s">
        <v>29</v>
      </c>
      <c r="C38" s="1" t="s">
        <v>5</v>
      </c>
      <c r="D38" s="5">
        <v>4.9670833333333303E-2</v>
      </c>
      <c r="E38" s="5">
        <v>9.0208333333333304E-3</v>
      </c>
      <c r="F38" s="5">
        <f t="shared" si="0"/>
        <v>4.0649999999999971E-2</v>
      </c>
      <c r="G38">
        <f t="shared" si="1"/>
        <v>13.12994999999999</v>
      </c>
    </row>
    <row r="39" spans="1:7">
      <c r="A39" s="1" t="s">
        <v>35</v>
      </c>
      <c r="B39" s="1" t="s">
        <v>29</v>
      </c>
      <c r="C39" s="1" t="s">
        <v>6</v>
      </c>
      <c r="D39" s="5">
        <v>3.35708333333333E-2</v>
      </c>
      <c r="E39" s="5">
        <v>4.7208333333333304E-3</v>
      </c>
      <c r="F39" s="5">
        <f t="shared" si="0"/>
        <v>2.8849999999999969E-2</v>
      </c>
      <c r="G39">
        <f t="shared" si="1"/>
        <v>9.3185499999999877</v>
      </c>
    </row>
    <row r="40" spans="1:7">
      <c r="A40" s="1" t="s">
        <v>35</v>
      </c>
      <c r="B40" s="1" t="s">
        <v>29</v>
      </c>
      <c r="C40" s="1" t="s">
        <v>7</v>
      </c>
      <c r="D40" s="5">
        <v>4.8070833333333299E-2</v>
      </c>
      <c r="E40" s="5">
        <v>9.0208333333333304E-3</v>
      </c>
      <c r="F40" s="5">
        <f t="shared" si="0"/>
        <v>3.9049999999999967E-2</v>
      </c>
      <c r="G40">
        <f t="shared" si="1"/>
        <v>12.613149999999989</v>
      </c>
    </row>
    <row r="41" spans="1:7">
      <c r="A41" s="1" t="s">
        <v>35</v>
      </c>
      <c r="B41" s="1" t="s">
        <v>29</v>
      </c>
      <c r="C41" s="1" t="s">
        <v>9</v>
      </c>
      <c r="D41" s="5">
        <v>4.03708333333333E-2</v>
      </c>
      <c r="E41" s="5">
        <v>4.1208333333333401E-3</v>
      </c>
      <c r="F41" s="5">
        <f t="shared" si="0"/>
        <v>3.6249999999999963E-2</v>
      </c>
      <c r="G41">
        <f t="shared" si="1"/>
        <v>11.708749999999988</v>
      </c>
    </row>
    <row r="42" spans="1:7">
      <c r="A42" s="1" t="s">
        <v>35</v>
      </c>
      <c r="B42" s="1" t="s">
        <v>29</v>
      </c>
      <c r="C42" s="1" t="s">
        <v>10</v>
      </c>
      <c r="D42" s="5">
        <v>5.0570833333333301E-2</v>
      </c>
      <c r="E42" s="5">
        <v>8.5208333333333299E-3</v>
      </c>
      <c r="F42" s="5">
        <f t="shared" si="0"/>
        <v>4.2049999999999969E-2</v>
      </c>
      <c r="G42">
        <f t="shared" si="1"/>
        <v>13.582149999999988</v>
      </c>
    </row>
    <row r="43" spans="1:7">
      <c r="A43" s="1" t="s">
        <v>35</v>
      </c>
      <c r="B43" s="1" t="s">
        <v>29</v>
      </c>
      <c r="C43" s="1" t="s">
        <v>11</v>
      </c>
      <c r="D43" s="5">
        <v>4.5170833333333299E-2</v>
      </c>
      <c r="E43" s="5">
        <v>7.4208333333333296E-3</v>
      </c>
      <c r="F43" s="5">
        <f t="shared" si="0"/>
        <v>3.7749999999999971E-2</v>
      </c>
      <c r="G43">
        <f t="shared" si="1"/>
        <v>12.193249999999988</v>
      </c>
    </row>
    <row r="44" spans="1:7">
      <c r="A44" s="1" t="s">
        <v>35</v>
      </c>
      <c r="B44" s="1" t="s">
        <v>29</v>
      </c>
      <c r="C44" s="1" t="s">
        <v>13</v>
      </c>
      <c r="D44" s="5">
        <v>5.1970833333333299E-2</v>
      </c>
      <c r="E44" s="5">
        <v>8.9208333333333396E-3</v>
      </c>
      <c r="F44" s="5">
        <f t="shared" si="0"/>
        <v>4.3049999999999963E-2</v>
      </c>
      <c r="G44">
        <f t="shared" si="1"/>
        <v>13.905149999999985</v>
      </c>
    </row>
    <row r="45" spans="1:7">
      <c r="A45" s="1" t="s">
        <v>35</v>
      </c>
      <c r="B45" s="1" t="s">
        <v>29</v>
      </c>
      <c r="C45" s="1" t="s">
        <v>14</v>
      </c>
      <c r="D45" s="5">
        <v>3.3770833333333299E-2</v>
      </c>
      <c r="E45" s="5">
        <v>3.8208333333333401E-3</v>
      </c>
      <c r="F45" s="5">
        <f t="shared" si="0"/>
        <v>2.9949999999999959E-2</v>
      </c>
      <c r="G45">
        <f t="shared" si="1"/>
        <v>9.6738499999999856</v>
      </c>
    </row>
    <row r="46" spans="1:7">
      <c r="A46" s="1" t="s">
        <v>35</v>
      </c>
      <c r="B46" s="1" t="s">
        <v>29</v>
      </c>
      <c r="C46" s="1" t="s">
        <v>15</v>
      </c>
      <c r="D46" s="5">
        <v>4.7270833333333297E-2</v>
      </c>
      <c r="E46" s="5">
        <v>1.00208333333333E-2</v>
      </c>
      <c r="F46" s="5">
        <f t="shared" si="0"/>
        <v>3.7249999999999998E-2</v>
      </c>
      <c r="G46">
        <f t="shared" si="1"/>
        <v>12.031749999999999</v>
      </c>
    </row>
    <row r="47" spans="1:7">
      <c r="A47" s="1" t="s">
        <v>35</v>
      </c>
      <c r="B47" s="1" t="s">
        <v>29</v>
      </c>
      <c r="C47" s="1" t="s">
        <v>17</v>
      </c>
      <c r="D47" s="5">
        <v>4.8970833333333297E-2</v>
      </c>
      <c r="E47" s="5">
        <v>1.78208333333333E-2</v>
      </c>
      <c r="F47" s="5">
        <f t="shared" si="0"/>
        <v>3.1149999999999997E-2</v>
      </c>
      <c r="G47">
        <f t="shared" si="1"/>
        <v>10.061449999999997</v>
      </c>
    </row>
    <row r="48" spans="1:7">
      <c r="A48" s="1" t="s">
        <v>35</v>
      </c>
      <c r="B48" s="1" t="s">
        <v>29</v>
      </c>
      <c r="C48" s="1" t="s">
        <v>18</v>
      </c>
      <c r="D48" s="5">
        <v>2.9870833333333301E-2</v>
      </c>
      <c r="E48" s="5">
        <v>4.6208333333333396E-3</v>
      </c>
      <c r="F48" s="5">
        <f t="shared" si="0"/>
        <v>2.524999999999996E-2</v>
      </c>
      <c r="G48">
        <f t="shared" si="1"/>
        <v>8.1557499999999852</v>
      </c>
    </row>
    <row r="49" spans="1:7">
      <c r="A49" s="1" t="s">
        <v>35</v>
      </c>
      <c r="B49" s="1" t="s">
        <v>29</v>
      </c>
      <c r="C49" s="1" t="s">
        <v>19</v>
      </c>
      <c r="D49" s="5">
        <v>5.1670833333333298E-2</v>
      </c>
      <c r="E49" s="5">
        <v>1.15208333333333E-2</v>
      </c>
      <c r="F49" s="5">
        <f t="shared" si="0"/>
        <v>4.0149999999999998E-2</v>
      </c>
      <c r="G49">
        <f t="shared" si="1"/>
        <v>12.968449999999997</v>
      </c>
    </row>
    <row r="50" spans="1:7">
      <c r="A50" s="1" t="s">
        <v>35</v>
      </c>
      <c r="B50" s="1" t="s">
        <v>29</v>
      </c>
      <c r="C50" s="1" t="s">
        <v>21</v>
      </c>
      <c r="D50" s="5">
        <v>3.9470833333333302E-2</v>
      </c>
      <c r="E50" s="5">
        <v>6.3208333333333398E-3</v>
      </c>
      <c r="F50" s="5">
        <f t="shared" si="0"/>
        <v>3.3149999999999964E-2</v>
      </c>
      <c r="G50">
        <f t="shared" si="1"/>
        <v>10.707449999999987</v>
      </c>
    </row>
    <row r="51" spans="1:7">
      <c r="A51" s="1" t="s">
        <v>35</v>
      </c>
      <c r="B51" s="1" t="s">
        <v>29</v>
      </c>
      <c r="C51" s="1" t="s">
        <v>22</v>
      </c>
      <c r="D51" s="5">
        <v>3.74708333333333E-2</v>
      </c>
      <c r="E51" s="5">
        <v>5.1208333333333401E-3</v>
      </c>
      <c r="F51" s="5">
        <f t="shared" si="0"/>
        <v>3.2349999999999962E-2</v>
      </c>
      <c r="G51">
        <f t="shared" si="1"/>
        <v>10.449049999999986</v>
      </c>
    </row>
    <row r="52" spans="1:7">
      <c r="A52" s="1" t="s">
        <v>35</v>
      </c>
      <c r="B52" s="1" t="s">
        <v>29</v>
      </c>
      <c r="C52" s="1" t="s">
        <v>23</v>
      </c>
      <c r="D52" s="5">
        <v>0.101270833333333</v>
      </c>
      <c r="E52" s="5">
        <v>5.5920833333333302E-2</v>
      </c>
      <c r="F52" s="5">
        <f t="shared" si="0"/>
        <v>4.5349999999999703E-2</v>
      </c>
      <c r="G52">
        <f t="shared" si="1"/>
        <v>14.648049999999904</v>
      </c>
    </row>
    <row r="53" spans="1:7">
      <c r="A53" s="1" t="s">
        <v>35</v>
      </c>
      <c r="B53" s="1" t="s">
        <v>29</v>
      </c>
      <c r="C53" s="1" t="s">
        <v>25</v>
      </c>
      <c r="D53" s="5">
        <v>3.6270833333333301E-2</v>
      </c>
      <c r="E53" s="5">
        <v>4.0208333333333303E-3</v>
      </c>
      <c r="F53" s="5">
        <f t="shared" si="0"/>
        <v>3.2249999999999973E-2</v>
      </c>
      <c r="G53">
        <f t="shared" si="1"/>
        <v>10.41674999999999</v>
      </c>
    </row>
    <row r="54" spans="1:7">
      <c r="A54" s="1" t="s">
        <v>35</v>
      </c>
      <c r="B54" s="1" t="s">
        <v>29</v>
      </c>
      <c r="C54" s="1" t="s">
        <v>26</v>
      </c>
      <c r="D54" s="5">
        <v>7.2770833333333299E-2</v>
      </c>
      <c r="E54" s="5">
        <v>5.1220833333333299E-2</v>
      </c>
      <c r="F54" s="5">
        <f t="shared" si="0"/>
        <v>2.155E-2</v>
      </c>
      <c r="G54">
        <f t="shared" si="1"/>
        <v>6.9606499999999993</v>
      </c>
    </row>
    <row r="55" spans="1:7">
      <c r="A55" s="1" t="s">
        <v>35</v>
      </c>
      <c r="B55" s="1" t="s">
        <v>29</v>
      </c>
      <c r="C55" s="1" t="s">
        <v>27</v>
      </c>
      <c r="D55" s="5">
        <v>3.64708333333333E-2</v>
      </c>
      <c r="E55" s="5">
        <v>3.42083333333334E-3</v>
      </c>
      <c r="F55" s="5">
        <f t="shared" si="0"/>
        <v>3.3049999999999961E-2</v>
      </c>
      <c r="G55">
        <f t="shared" si="1"/>
        <v>10.675149999999986</v>
      </c>
    </row>
    <row r="56" spans="1:7">
      <c r="A56" s="1" t="s">
        <v>35</v>
      </c>
      <c r="B56" s="1" t="s">
        <v>30</v>
      </c>
      <c r="C56" s="1" t="s">
        <v>5</v>
      </c>
      <c r="D56" s="5">
        <v>4.9329166666666702E-2</v>
      </c>
      <c r="E56" s="5">
        <v>6.9333333333333304E-3</v>
      </c>
      <c r="F56" s="5">
        <f t="shared" si="0"/>
        <v>4.2395833333333369E-2</v>
      </c>
      <c r="G56">
        <f t="shared" si="1"/>
        <v>13.693854166666677</v>
      </c>
    </row>
    <row r="57" spans="1:7">
      <c r="A57" s="1" t="s">
        <v>35</v>
      </c>
      <c r="B57" s="1" t="s">
        <v>30</v>
      </c>
      <c r="C57" s="1" t="s">
        <v>6</v>
      </c>
      <c r="D57" s="5">
        <v>6.7929166666666693E-2</v>
      </c>
      <c r="E57" s="5">
        <v>1.5133333333333301E-2</v>
      </c>
      <c r="F57" s="5">
        <f t="shared" si="0"/>
        <v>5.2795833333333389E-2</v>
      </c>
      <c r="G57">
        <f t="shared" si="1"/>
        <v>17.053054166666683</v>
      </c>
    </row>
    <row r="58" spans="1:7">
      <c r="A58" s="1" t="s">
        <v>35</v>
      </c>
      <c r="B58" s="1" t="s">
        <v>30</v>
      </c>
      <c r="C58" s="1" t="s">
        <v>7</v>
      </c>
      <c r="D58" s="5">
        <v>5.0529166666666701E-2</v>
      </c>
      <c r="E58" s="5">
        <v>8.6333333333333297E-3</v>
      </c>
      <c r="F58" s="5">
        <f t="shared" si="0"/>
        <v>4.1895833333333368E-2</v>
      </c>
      <c r="G58">
        <f t="shared" si="1"/>
        <v>13.532354166666675</v>
      </c>
    </row>
    <row r="59" spans="1:7">
      <c r="A59" s="1" t="s">
        <v>35</v>
      </c>
      <c r="B59" s="1" t="s">
        <v>30</v>
      </c>
      <c r="C59" s="1" t="s">
        <v>9</v>
      </c>
      <c r="D59" s="5">
        <v>3.2629166666666702E-2</v>
      </c>
      <c r="E59" s="5">
        <v>8.4333333333333291E-3</v>
      </c>
      <c r="F59" s="5">
        <f t="shared" si="0"/>
        <v>2.4195833333333375E-2</v>
      </c>
      <c r="G59">
        <f t="shared" si="1"/>
        <v>7.815254166666679</v>
      </c>
    </row>
    <row r="60" spans="1:7">
      <c r="A60" s="1" t="s">
        <v>35</v>
      </c>
      <c r="B60" s="1" t="s">
        <v>30</v>
      </c>
      <c r="C60" s="1" t="s">
        <v>10</v>
      </c>
      <c r="D60" s="5">
        <v>3.5329166666666703E-2</v>
      </c>
      <c r="E60" s="5">
        <v>5.7333333333333299E-3</v>
      </c>
      <c r="F60" s="5">
        <f t="shared" si="0"/>
        <v>2.9595833333333373E-2</v>
      </c>
      <c r="G60">
        <f t="shared" si="1"/>
        <v>9.5594541666666775</v>
      </c>
    </row>
    <row r="61" spans="1:7">
      <c r="A61" s="1" t="s">
        <v>35</v>
      </c>
      <c r="B61" s="1" t="s">
        <v>30</v>
      </c>
      <c r="C61" s="1" t="s">
        <v>11</v>
      </c>
      <c r="D61" s="5">
        <v>3.98291666666667E-2</v>
      </c>
      <c r="E61" s="5">
        <v>5.63333333333334E-3</v>
      </c>
      <c r="F61" s="5">
        <f t="shared" si="0"/>
        <v>3.4195833333333363E-2</v>
      </c>
      <c r="G61">
        <f t="shared" si="1"/>
        <v>11.045254166666675</v>
      </c>
    </row>
    <row r="62" spans="1:7">
      <c r="A62" s="1" t="s">
        <v>35</v>
      </c>
      <c r="B62" s="1" t="s">
        <v>30</v>
      </c>
      <c r="C62" s="1" t="s">
        <v>13</v>
      </c>
      <c r="D62" s="5">
        <v>4.9329166666666702E-2</v>
      </c>
      <c r="E62" s="5">
        <v>5.4333333333333299E-3</v>
      </c>
      <c r="F62" s="5">
        <f t="shared" si="0"/>
        <v>4.389583333333337E-2</v>
      </c>
      <c r="G62">
        <f t="shared" si="1"/>
        <v>14.178354166666677</v>
      </c>
    </row>
    <row r="63" spans="1:7">
      <c r="A63" s="1" t="s">
        <v>35</v>
      </c>
      <c r="B63" s="1" t="s">
        <v>30</v>
      </c>
      <c r="C63" s="1" t="s">
        <v>14</v>
      </c>
      <c r="D63" s="5">
        <v>4.4129166666666698E-2</v>
      </c>
      <c r="E63" s="5">
        <v>7.7333333333333403E-3</v>
      </c>
      <c r="F63" s="5">
        <f t="shared" si="0"/>
        <v>3.6395833333333356E-2</v>
      </c>
      <c r="G63">
        <f t="shared" si="1"/>
        <v>11.755854166666673</v>
      </c>
    </row>
    <row r="64" spans="1:7">
      <c r="A64" s="1" t="s">
        <v>35</v>
      </c>
      <c r="B64" s="1" t="s">
        <v>30</v>
      </c>
      <c r="C64" s="1" t="s">
        <v>15</v>
      </c>
      <c r="D64" s="5">
        <v>5.19291666666667E-2</v>
      </c>
      <c r="E64" s="5">
        <v>6.43333333333333E-3</v>
      </c>
      <c r="F64" s="5">
        <f t="shared" si="0"/>
        <v>4.5495833333333367E-2</v>
      </c>
      <c r="G64">
        <f t="shared" si="1"/>
        <v>14.695154166666677</v>
      </c>
    </row>
    <row r="65" spans="1:7">
      <c r="A65" s="1" t="s">
        <v>35</v>
      </c>
      <c r="B65" s="1" t="s">
        <v>30</v>
      </c>
      <c r="C65" s="1" t="s">
        <v>17</v>
      </c>
      <c r="D65" s="5">
        <v>5.9829166666666697E-2</v>
      </c>
      <c r="E65" s="5">
        <v>1.0833333333333301E-2</v>
      </c>
      <c r="F65" s="5">
        <f t="shared" si="0"/>
        <v>4.8995833333333398E-2</v>
      </c>
      <c r="G65">
        <f t="shared" si="1"/>
        <v>15.825654166666686</v>
      </c>
    </row>
    <row r="66" spans="1:7">
      <c r="A66" s="1" t="s">
        <v>35</v>
      </c>
      <c r="B66" s="1" t="s">
        <v>30</v>
      </c>
      <c r="C66" s="1" t="s">
        <v>18</v>
      </c>
      <c r="D66" s="5">
        <v>7.0029166666666698E-2</v>
      </c>
      <c r="E66" s="5">
        <v>1.4233333333333299E-2</v>
      </c>
      <c r="F66" s="5">
        <f t="shared" si="0"/>
        <v>5.5795833333333399E-2</v>
      </c>
      <c r="G66">
        <f t="shared" si="1"/>
        <v>18.022054166666685</v>
      </c>
    </row>
    <row r="67" spans="1:7">
      <c r="A67" s="1" t="s">
        <v>35</v>
      </c>
      <c r="B67" s="1" t="s">
        <v>30</v>
      </c>
      <c r="C67" s="1" t="s">
        <v>19</v>
      </c>
      <c r="D67" s="5">
        <v>6.5829166666666702E-2</v>
      </c>
      <c r="E67" s="5">
        <v>1.53333333333333E-2</v>
      </c>
      <c r="F67" s="5">
        <f t="shared" ref="F67:F130" si="2">D67-E67</f>
        <v>5.0495833333333406E-2</v>
      </c>
      <c r="G67">
        <f t="shared" ref="G67:G130" si="3">32.3*F67/0.1</f>
        <v>16.310154166666688</v>
      </c>
    </row>
    <row r="68" spans="1:7">
      <c r="A68" s="1" t="s">
        <v>35</v>
      </c>
      <c r="B68" s="1" t="s">
        <v>30</v>
      </c>
      <c r="C68" s="1" t="s">
        <v>21</v>
      </c>
      <c r="D68" s="5">
        <v>4.4229166666666701E-2</v>
      </c>
      <c r="E68" s="5">
        <v>4.2333333333333303E-3</v>
      </c>
      <c r="F68" s="5">
        <f t="shared" si="2"/>
        <v>3.9995833333333369E-2</v>
      </c>
      <c r="G68">
        <f t="shared" si="3"/>
        <v>12.918654166666675</v>
      </c>
    </row>
    <row r="69" spans="1:7">
      <c r="A69" s="1" t="s">
        <v>35</v>
      </c>
      <c r="B69" s="1" t="s">
        <v>30</v>
      </c>
      <c r="C69" s="1" t="s">
        <v>22</v>
      </c>
      <c r="D69" s="5">
        <v>3.1529166666666698E-2</v>
      </c>
      <c r="E69" s="5">
        <v>4.2333333333333303E-3</v>
      </c>
      <c r="F69" s="5">
        <f t="shared" si="2"/>
        <v>2.7295833333333366E-2</v>
      </c>
      <c r="G69">
        <f t="shared" si="3"/>
        <v>8.8165541666666769</v>
      </c>
    </row>
    <row r="70" spans="1:7">
      <c r="A70" s="1" t="s">
        <v>35</v>
      </c>
      <c r="B70" s="1" t="s">
        <v>30</v>
      </c>
      <c r="C70" s="1" t="s">
        <v>23</v>
      </c>
      <c r="D70" s="5">
        <v>3.5129166666666697E-2</v>
      </c>
      <c r="E70" s="5">
        <v>5.2333333333333303E-3</v>
      </c>
      <c r="F70" s="5">
        <f t="shared" si="2"/>
        <v>2.9895833333333368E-2</v>
      </c>
      <c r="G70">
        <f t="shared" si="3"/>
        <v>9.6563541666666772</v>
      </c>
    </row>
    <row r="71" spans="1:7">
      <c r="A71" s="1" t="s">
        <v>35</v>
      </c>
      <c r="B71" s="1" t="s">
        <v>30</v>
      </c>
      <c r="C71" s="1" t="s">
        <v>25</v>
      </c>
      <c r="D71" s="5">
        <v>4.5529166666666697E-2</v>
      </c>
      <c r="E71" s="5">
        <v>5.1333333333333396E-3</v>
      </c>
      <c r="F71" s="5">
        <f t="shared" si="2"/>
        <v>4.039583333333336E-2</v>
      </c>
      <c r="G71">
        <f t="shared" si="3"/>
        <v>13.047854166666674</v>
      </c>
    </row>
    <row r="72" spans="1:7">
      <c r="A72" s="1" t="s">
        <v>35</v>
      </c>
      <c r="B72" s="1" t="s">
        <v>30</v>
      </c>
      <c r="C72" s="1" t="s">
        <v>26</v>
      </c>
      <c r="D72" s="5">
        <v>6.1829166666666699E-2</v>
      </c>
      <c r="E72" s="5">
        <v>1.0233333333333299E-2</v>
      </c>
      <c r="F72" s="5">
        <f t="shared" si="2"/>
        <v>5.1595833333333396E-2</v>
      </c>
      <c r="G72">
        <f t="shared" si="3"/>
        <v>16.665454166666684</v>
      </c>
    </row>
    <row r="73" spans="1:7">
      <c r="A73" s="1" t="s">
        <v>35</v>
      </c>
      <c r="B73" s="1" t="s">
        <v>30</v>
      </c>
      <c r="C73" s="1" t="s">
        <v>27</v>
      </c>
      <c r="D73" s="5">
        <v>4.3029166666666702E-2</v>
      </c>
      <c r="E73" s="5">
        <v>6.43333333333333E-3</v>
      </c>
      <c r="F73" s="5">
        <f t="shared" si="2"/>
        <v>3.6595833333333369E-2</v>
      </c>
      <c r="G73">
        <f t="shared" si="3"/>
        <v>11.820454166666675</v>
      </c>
    </row>
    <row r="74" spans="1:7">
      <c r="A74" s="1" t="s">
        <v>35</v>
      </c>
      <c r="B74" s="1" t="s">
        <v>31</v>
      </c>
      <c r="C74" s="1" t="s">
        <v>5</v>
      </c>
      <c r="D74" s="5">
        <v>3.8333333333333303E-2</v>
      </c>
      <c r="E74" s="5">
        <v>5.63333333333334E-3</v>
      </c>
      <c r="F74" s="5">
        <f t="shared" si="2"/>
        <v>3.2699999999999965E-2</v>
      </c>
      <c r="G74">
        <f t="shared" si="3"/>
        <v>10.562099999999987</v>
      </c>
    </row>
    <row r="75" spans="1:7">
      <c r="A75" s="1" t="s">
        <v>35</v>
      </c>
      <c r="B75" s="1" t="s">
        <v>31</v>
      </c>
      <c r="C75" s="1" t="s">
        <v>6</v>
      </c>
      <c r="D75" s="5">
        <v>6.3033333333333302E-2</v>
      </c>
      <c r="E75" s="5">
        <v>1.2833333333333301E-2</v>
      </c>
      <c r="F75" s="5">
        <f t="shared" si="2"/>
        <v>5.0200000000000002E-2</v>
      </c>
      <c r="G75">
        <f t="shared" si="3"/>
        <v>16.214599999999997</v>
      </c>
    </row>
    <row r="76" spans="1:7">
      <c r="A76" s="1" t="s">
        <v>35</v>
      </c>
      <c r="B76" s="1" t="s">
        <v>31</v>
      </c>
      <c r="C76" s="1" t="s">
        <v>7</v>
      </c>
      <c r="D76" s="5">
        <v>5.8133333333333301E-2</v>
      </c>
      <c r="E76" s="5">
        <v>1.35333333333333E-2</v>
      </c>
      <c r="F76" s="5">
        <f t="shared" si="2"/>
        <v>4.4600000000000001E-2</v>
      </c>
      <c r="G76">
        <f t="shared" si="3"/>
        <v>14.405799999999999</v>
      </c>
    </row>
    <row r="77" spans="1:7">
      <c r="A77" s="1" t="s">
        <v>35</v>
      </c>
      <c r="B77" s="1" t="s">
        <v>31</v>
      </c>
      <c r="C77" s="1" t="s">
        <v>9</v>
      </c>
      <c r="D77" s="5">
        <v>5.2133333333333302E-2</v>
      </c>
      <c r="E77" s="5">
        <v>1.2533333333333301E-2</v>
      </c>
      <c r="F77" s="5">
        <f t="shared" si="2"/>
        <v>3.9600000000000003E-2</v>
      </c>
      <c r="G77">
        <f t="shared" si="3"/>
        <v>12.790799999999999</v>
      </c>
    </row>
    <row r="78" spans="1:7">
      <c r="A78" s="1" t="s">
        <v>35</v>
      </c>
      <c r="B78" s="1" t="s">
        <v>31</v>
      </c>
      <c r="C78" s="1" t="s">
        <v>10</v>
      </c>
      <c r="D78" s="5">
        <v>5.6533333333333297E-2</v>
      </c>
      <c r="E78" s="5">
        <v>1.1133333333333301E-2</v>
      </c>
      <c r="F78" s="5">
        <f t="shared" si="2"/>
        <v>4.5399999999999996E-2</v>
      </c>
      <c r="G78">
        <f t="shared" si="3"/>
        <v>14.664199999999997</v>
      </c>
    </row>
    <row r="79" spans="1:7">
      <c r="A79" s="1" t="s">
        <v>35</v>
      </c>
      <c r="B79" s="1" t="s">
        <v>31</v>
      </c>
      <c r="C79" s="1" t="s">
        <v>11</v>
      </c>
      <c r="D79" s="5">
        <v>6.1333333333333302E-2</v>
      </c>
      <c r="E79" s="5">
        <v>9.0333333333333307E-3</v>
      </c>
      <c r="F79" s="5">
        <f t="shared" si="2"/>
        <v>5.2299999999999972E-2</v>
      </c>
      <c r="G79">
        <f t="shared" si="3"/>
        <v>16.892899999999987</v>
      </c>
    </row>
    <row r="80" spans="1:7">
      <c r="A80" s="1" t="s">
        <v>35</v>
      </c>
      <c r="B80" s="1" t="s">
        <v>31</v>
      </c>
      <c r="C80" s="1" t="s">
        <v>13</v>
      </c>
      <c r="D80" s="5">
        <v>8.0433333333333301E-2</v>
      </c>
      <c r="E80" s="5">
        <v>1.55333333333333E-2</v>
      </c>
      <c r="F80" s="5">
        <f t="shared" si="2"/>
        <v>6.4899999999999999E-2</v>
      </c>
      <c r="G80">
        <f t="shared" si="3"/>
        <v>20.962699999999995</v>
      </c>
    </row>
    <row r="81" spans="1:7">
      <c r="A81" s="1" t="s">
        <v>35</v>
      </c>
      <c r="B81" s="1" t="s">
        <v>31</v>
      </c>
      <c r="C81" s="1" t="s">
        <v>14</v>
      </c>
      <c r="D81" s="5">
        <v>6.3833333333333298E-2</v>
      </c>
      <c r="E81" s="5">
        <v>1.03333333333333E-2</v>
      </c>
      <c r="F81" s="5">
        <f t="shared" si="2"/>
        <v>5.3499999999999999E-2</v>
      </c>
      <c r="G81">
        <f t="shared" si="3"/>
        <v>17.280499999999996</v>
      </c>
    </row>
    <row r="82" spans="1:7">
      <c r="A82" s="1" t="s">
        <v>35</v>
      </c>
      <c r="B82" s="1" t="s">
        <v>31</v>
      </c>
      <c r="C82" s="1" t="s">
        <v>15</v>
      </c>
      <c r="D82" s="5">
        <v>7.4833333333333293E-2</v>
      </c>
      <c r="E82" s="5">
        <v>1.9433333333333299E-2</v>
      </c>
      <c r="F82" s="5">
        <f t="shared" si="2"/>
        <v>5.5399999999999991E-2</v>
      </c>
      <c r="G82">
        <f t="shared" si="3"/>
        <v>17.894199999999994</v>
      </c>
    </row>
    <row r="83" spans="1:7">
      <c r="A83" s="1" t="s">
        <v>35</v>
      </c>
      <c r="B83" s="1" t="s">
        <v>31</v>
      </c>
      <c r="C83" s="1" t="s">
        <v>17</v>
      </c>
      <c r="D83" s="5">
        <v>9.1033333333333299E-2</v>
      </c>
      <c r="E83" s="5">
        <v>1.81333333333333E-2</v>
      </c>
      <c r="F83" s="5">
        <f t="shared" si="2"/>
        <v>7.2899999999999993E-2</v>
      </c>
      <c r="G83">
        <f t="shared" si="3"/>
        <v>23.546699999999994</v>
      </c>
    </row>
    <row r="84" spans="1:7">
      <c r="A84" s="1" t="s">
        <v>35</v>
      </c>
      <c r="B84" s="1" t="s">
        <v>31</v>
      </c>
      <c r="C84" s="1" t="s">
        <v>18</v>
      </c>
      <c r="D84" s="5">
        <v>6.6133333333333294E-2</v>
      </c>
      <c r="E84" s="5">
        <v>1.07333333333333E-2</v>
      </c>
      <c r="F84" s="5">
        <f t="shared" si="2"/>
        <v>5.5399999999999991E-2</v>
      </c>
      <c r="G84">
        <f t="shared" si="3"/>
        <v>17.894199999999994</v>
      </c>
    </row>
    <row r="85" spans="1:7">
      <c r="A85" s="1" t="s">
        <v>35</v>
      </c>
      <c r="B85" s="1" t="s">
        <v>31</v>
      </c>
      <c r="C85" s="1" t="s">
        <v>19</v>
      </c>
      <c r="D85" s="5">
        <v>5.1533333333333299E-2</v>
      </c>
      <c r="E85" s="5">
        <v>7.5333333333333398E-3</v>
      </c>
      <c r="F85" s="5">
        <f t="shared" si="2"/>
        <v>4.3999999999999956E-2</v>
      </c>
      <c r="G85">
        <f t="shared" si="3"/>
        <v>14.211999999999984</v>
      </c>
    </row>
    <row r="86" spans="1:7">
      <c r="A86" s="1" t="s">
        <v>35</v>
      </c>
      <c r="B86" s="1" t="s">
        <v>31</v>
      </c>
      <c r="C86" s="1" t="s">
        <v>21</v>
      </c>
      <c r="D86" s="5">
        <v>6.4233333333333295E-2</v>
      </c>
      <c r="E86" s="5">
        <v>1.26333333333333E-2</v>
      </c>
      <c r="F86" s="5">
        <f t="shared" si="2"/>
        <v>5.1599999999999993E-2</v>
      </c>
      <c r="G86">
        <f t="shared" si="3"/>
        <v>16.666799999999995</v>
      </c>
    </row>
    <row r="87" spans="1:7">
      <c r="A87" s="1" t="s">
        <v>35</v>
      </c>
      <c r="B87" s="1" t="s">
        <v>31</v>
      </c>
      <c r="C87" s="1" t="s">
        <v>22</v>
      </c>
      <c r="D87" s="5">
        <v>6.8433333333333304E-2</v>
      </c>
      <c r="E87" s="5">
        <v>1.10333333333333E-2</v>
      </c>
      <c r="F87" s="5">
        <f t="shared" si="2"/>
        <v>5.7400000000000007E-2</v>
      </c>
      <c r="G87">
        <f t="shared" si="3"/>
        <v>18.540199999999999</v>
      </c>
    </row>
    <row r="88" spans="1:7">
      <c r="A88" s="1" t="s">
        <v>35</v>
      </c>
      <c r="B88" s="1" t="s">
        <v>31</v>
      </c>
      <c r="C88" s="1" t="s">
        <v>23</v>
      </c>
      <c r="D88" s="5">
        <v>7.3033333333333297E-2</v>
      </c>
      <c r="E88" s="5">
        <v>1.4233333333333299E-2</v>
      </c>
      <c r="F88" s="5">
        <f t="shared" si="2"/>
        <v>5.8799999999999998E-2</v>
      </c>
      <c r="G88">
        <f t="shared" si="3"/>
        <v>18.992399999999996</v>
      </c>
    </row>
    <row r="89" spans="1:7">
      <c r="A89" s="1" t="s">
        <v>35</v>
      </c>
      <c r="B89" s="1" t="s">
        <v>31</v>
      </c>
      <c r="C89" s="1" t="s">
        <v>25</v>
      </c>
      <c r="D89" s="5">
        <v>4.7333333333333297E-2</v>
      </c>
      <c r="E89" s="5">
        <v>8.9333333333333296E-3</v>
      </c>
      <c r="F89" s="5">
        <f t="shared" si="2"/>
        <v>3.8399999999999969E-2</v>
      </c>
      <c r="G89">
        <f t="shared" si="3"/>
        <v>12.403199999999989</v>
      </c>
    </row>
    <row r="90" spans="1:7">
      <c r="A90" s="1" t="s">
        <v>35</v>
      </c>
      <c r="B90" s="1" t="s">
        <v>31</v>
      </c>
      <c r="C90" s="1" t="s">
        <v>26</v>
      </c>
      <c r="D90" s="5">
        <v>4.8633333333333299E-2</v>
      </c>
      <c r="E90" s="5">
        <v>9.4333333333333404E-3</v>
      </c>
      <c r="F90" s="5">
        <f t="shared" si="2"/>
        <v>3.9199999999999957E-2</v>
      </c>
      <c r="G90">
        <f t="shared" si="3"/>
        <v>12.661599999999984</v>
      </c>
    </row>
    <row r="91" spans="1:7">
      <c r="A91" s="1" t="s">
        <v>35</v>
      </c>
      <c r="B91" s="1" t="s">
        <v>31</v>
      </c>
      <c r="C91" s="1" t="s">
        <v>27</v>
      </c>
      <c r="D91" s="5">
        <v>4.4633333333333303E-2</v>
      </c>
      <c r="E91" s="5">
        <v>1.0233333333333299E-2</v>
      </c>
      <c r="F91" s="5">
        <f t="shared" si="2"/>
        <v>3.44E-2</v>
      </c>
      <c r="G91">
        <f t="shared" si="3"/>
        <v>11.111199999999998</v>
      </c>
    </row>
    <row r="92" spans="1:7">
      <c r="A92" s="1" t="s">
        <v>35</v>
      </c>
      <c r="B92" s="1" t="s">
        <v>32</v>
      </c>
      <c r="C92" s="2" t="s">
        <v>4</v>
      </c>
      <c r="D92" s="5">
        <v>6.2029166666666698E-2</v>
      </c>
      <c r="E92" s="5">
        <v>1.1333333333333299E-2</v>
      </c>
      <c r="F92" s="5">
        <f t="shared" si="2"/>
        <v>5.0695833333333398E-2</v>
      </c>
      <c r="G92">
        <f t="shared" si="3"/>
        <v>16.374754166666683</v>
      </c>
    </row>
    <row r="93" spans="1:7">
      <c r="A93" s="1" t="s">
        <v>35</v>
      </c>
      <c r="B93" s="1" t="s">
        <v>32</v>
      </c>
      <c r="C93" s="2" t="s">
        <v>6</v>
      </c>
      <c r="D93" s="5">
        <v>6.5229166666666699E-2</v>
      </c>
      <c r="E93" s="5">
        <v>1.3433333333333301E-2</v>
      </c>
      <c r="F93" s="5">
        <f t="shared" si="2"/>
        <v>5.1795833333333402E-2</v>
      </c>
      <c r="G93">
        <f t="shared" si="3"/>
        <v>16.730054166666687</v>
      </c>
    </row>
    <row r="94" spans="1:7">
      <c r="A94" s="1" t="s">
        <v>35</v>
      </c>
      <c r="B94" s="1" t="s">
        <v>32</v>
      </c>
      <c r="C94" s="2" t="s">
        <v>7</v>
      </c>
      <c r="D94" s="5">
        <v>8.3129166666666698E-2</v>
      </c>
      <c r="E94" s="5">
        <v>2.21333333333333E-2</v>
      </c>
      <c r="F94" s="5">
        <f t="shared" si="2"/>
        <v>6.0995833333333402E-2</v>
      </c>
      <c r="G94">
        <f t="shared" si="3"/>
        <v>19.701654166666685</v>
      </c>
    </row>
    <row r="95" spans="1:7">
      <c r="A95" s="1" t="s">
        <v>35</v>
      </c>
      <c r="B95" s="1" t="s">
        <v>32</v>
      </c>
      <c r="C95" s="2" t="s">
        <v>8</v>
      </c>
      <c r="D95" s="5">
        <v>8.7329166666666694E-2</v>
      </c>
      <c r="E95" s="5">
        <v>4.1733333333333303E-2</v>
      </c>
      <c r="F95" s="5">
        <f t="shared" si="2"/>
        <v>4.5595833333333391E-2</v>
      </c>
      <c r="G95">
        <f t="shared" si="3"/>
        <v>14.727454166666684</v>
      </c>
    </row>
    <row r="96" spans="1:7">
      <c r="A96" s="1" t="s">
        <v>35</v>
      </c>
      <c r="B96" s="1" t="s">
        <v>32</v>
      </c>
      <c r="C96" s="2" t="s">
        <v>10</v>
      </c>
      <c r="D96" s="5">
        <v>5.7129166666666703E-2</v>
      </c>
      <c r="E96" s="5">
        <v>1.06333333333333E-2</v>
      </c>
      <c r="F96" s="5">
        <f t="shared" si="2"/>
        <v>4.6495833333333403E-2</v>
      </c>
      <c r="G96">
        <f t="shared" si="3"/>
        <v>15.018154166666688</v>
      </c>
    </row>
    <row r="97" spans="1:7">
      <c r="A97" s="1" t="s">
        <v>35</v>
      </c>
      <c r="B97" s="1" t="s">
        <v>32</v>
      </c>
      <c r="C97" s="2" t="s">
        <v>11</v>
      </c>
      <c r="D97" s="5">
        <v>5.9629166666666698E-2</v>
      </c>
      <c r="E97" s="5">
        <v>1.38333333333333E-2</v>
      </c>
      <c r="F97" s="5">
        <f t="shared" si="2"/>
        <v>4.5795833333333397E-2</v>
      </c>
      <c r="G97">
        <f t="shared" si="3"/>
        <v>14.792054166666686</v>
      </c>
    </row>
    <row r="98" spans="1:7">
      <c r="A98" s="1" t="s">
        <v>35</v>
      </c>
      <c r="B98" s="1" t="s">
        <v>32</v>
      </c>
      <c r="C98" s="2" t="s">
        <v>12</v>
      </c>
      <c r="D98" s="5">
        <v>7.9429166666666703E-2</v>
      </c>
      <c r="E98" s="5">
        <v>1.58333333333333E-2</v>
      </c>
      <c r="F98" s="5">
        <f t="shared" si="2"/>
        <v>6.3595833333333407E-2</v>
      </c>
      <c r="G98">
        <f t="shared" si="3"/>
        <v>20.541454166666686</v>
      </c>
    </row>
    <row r="99" spans="1:7">
      <c r="A99" s="1" t="s">
        <v>35</v>
      </c>
      <c r="B99" s="1" t="s">
        <v>32</v>
      </c>
      <c r="C99" s="2" t="s">
        <v>14</v>
      </c>
      <c r="D99" s="5">
        <v>5.9129166666666698E-2</v>
      </c>
      <c r="E99" s="5">
        <v>1.0833333333333301E-2</v>
      </c>
      <c r="F99" s="5">
        <f t="shared" si="2"/>
        <v>4.8295833333333399E-2</v>
      </c>
      <c r="G99">
        <f t="shared" si="3"/>
        <v>15.599554166666687</v>
      </c>
    </row>
    <row r="100" spans="1:7">
      <c r="A100" s="1" t="s">
        <v>35</v>
      </c>
      <c r="B100" s="1" t="s">
        <v>32</v>
      </c>
      <c r="C100" s="2" t="s">
        <v>15</v>
      </c>
      <c r="D100" s="5">
        <v>4.7629166666666702E-2</v>
      </c>
      <c r="E100" s="5">
        <v>8.8333333333333302E-3</v>
      </c>
      <c r="F100" s="5">
        <f t="shared" si="2"/>
        <v>3.879583333333337E-2</v>
      </c>
      <c r="G100">
        <f t="shared" si="3"/>
        <v>12.531054166666676</v>
      </c>
    </row>
    <row r="101" spans="1:7">
      <c r="A101" s="1" t="s">
        <v>35</v>
      </c>
      <c r="B101" s="1" t="s">
        <v>32</v>
      </c>
      <c r="C101" s="2" t="s">
        <v>16</v>
      </c>
      <c r="D101" s="5">
        <v>9.5529166666666707E-2</v>
      </c>
      <c r="E101" s="5">
        <v>3.1333333333333303E-2</v>
      </c>
      <c r="F101" s="5">
        <f t="shared" si="2"/>
        <v>6.4195833333333396E-2</v>
      </c>
      <c r="G101">
        <f t="shared" si="3"/>
        <v>20.735254166666682</v>
      </c>
    </row>
    <row r="102" spans="1:7">
      <c r="A102" s="1" t="s">
        <v>35</v>
      </c>
      <c r="B102" s="1" t="s">
        <v>32</v>
      </c>
      <c r="C102" s="2" t="s">
        <v>18</v>
      </c>
      <c r="D102" s="5">
        <v>5.3329166666666698E-2</v>
      </c>
      <c r="E102" s="5">
        <v>7.6333333333333296E-3</v>
      </c>
      <c r="F102" s="5">
        <f t="shared" si="2"/>
        <v>4.5695833333333366E-2</v>
      </c>
      <c r="G102">
        <f t="shared" si="3"/>
        <v>14.759754166666676</v>
      </c>
    </row>
    <row r="103" spans="1:7">
      <c r="A103" s="1" t="s">
        <v>35</v>
      </c>
      <c r="B103" s="1" t="s">
        <v>32</v>
      </c>
      <c r="C103" s="2" t="s">
        <v>19</v>
      </c>
      <c r="D103" s="5">
        <v>6.5529166666666694E-2</v>
      </c>
      <c r="E103" s="5">
        <v>1.3633333333333299E-2</v>
      </c>
      <c r="F103" s="5">
        <f t="shared" si="2"/>
        <v>5.1895833333333391E-2</v>
      </c>
      <c r="G103">
        <f t="shared" si="3"/>
        <v>16.762354166666682</v>
      </c>
    </row>
    <row r="104" spans="1:7">
      <c r="A104" s="1" t="s">
        <v>35</v>
      </c>
      <c r="B104" s="1" t="s">
        <v>32</v>
      </c>
      <c r="C104" s="2" t="s">
        <v>20</v>
      </c>
      <c r="D104" s="5">
        <v>3.4229166666666699E-2</v>
      </c>
      <c r="E104" s="5">
        <v>4.8333333333333397E-3</v>
      </c>
      <c r="F104" s="5">
        <f t="shared" si="2"/>
        <v>2.9395833333333361E-2</v>
      </c>
      <c r="G104">
        <f t="shared" si="3"/>
        <v>9.4948541666666735</v>
      </c>
    </row>
    <row r="105" spans="1:7">
      <c r="A105" s="1" t="s">
        <v>35</v>
      </c>
      <c r="B105" s="1" t="s">
        <v>32</v>
      </c>
      <c r="C105" s="2" t="s">
        <v>22</v>
      </c>
      <c r="D105" s="5">
        <v>6.1829166666666699E-2</v>
      </c>
      <c r="E105" s="5">
        <v>1.2233333333333299E-2</v>
      </c>
      <c r="F105" s="5">
        <f t="shared" si="2"/>
        <v>4.9595833333333401E-2</v>
      </c>
      <c r="G105">
        <f t="shared" si="3"/>
        <v>16.019454166666687</v>
      </c>
    </row>
    <row r="106" spans="1:7">
      <c r="A106" s="1" t="s">
        <v>35</v>
      </c>
      <c r="B106" s="1" t="s">
        <v>32</v>
      </c>
      <c r="C106" s="2" t="s">
        <v>23</v>
      </c>
      <c r="D106" s="5">
        <v>6.1229166666666703E-2</v>
      </c>
      <c r="E106" s="5">
        <v>1.0233333333333299E-2</v>
      </c>
      <c r="F106" s="5">
        <f t="shared" si="2"/>
        <v>5.0995833333333407E-2</v>
      </c>
      <c r="G106">
        <f t="shared" si="3"/>
        <v>16.471654166666688</v>
      </c>
    </row>
    <row r="107" spans="1:7">
      <c r="A107" s="1" t="s">
        <v>35</v>
      </c>
      <c r="B107" s="1" t="s">
        <v>32</v>
      </c>
      <c r="C107" s="2" t="s">
        <v>24</v>
      </c>
      <c r="D107" s="5">
        <v>5.1129166666666698E-2</v>
      </c>
      <c r="E107" s="5">
        <v>8.2333333333333408E-3</v>
      </c>
      <c r="F107" s="5">
        <f t="shared" si="2"/>
        <v>4.2895833333333355E-2</v>
      </c>
      <c r="G107">
        <f t="shared" si="3"/>
        <v>13.855354166666674</v>
      </c>
    </row>
    <row r="108" spans="1:7">
      <c r="A108" s="1" t="s">
        <v>35</v>
      </c>
      <c r="B108" s="1" t="s">
        <v>32</v>
      </c>
      <c r="C108" s="2" t="s">
        <v>26</v>
      </c>
      <c r="D108" s="5">
        <v>9.5229166666666698E-2</v>
      </c>
      <c r="E108" s="5">
        <v>4.9333333333333299E-2</v>
      </c>
      <c r="F108" s="5">
        <f t="shared" si="2"/>
        <v>4.58958333333334E-2</v>
      </c>
      <c r="G108">
        <f t="shared" si="3"/>
        <v>14.824354166666685</v>
      </c>
    </row>
    <row r="109" spans="1:7">
      <c r="A109" s="1" t="s">
        <v>35</v>
      </c>
      <c r="B109" s="1" t="s">
        <v>32</v>
      </c>
      <c r="C109" s="2" t="s">
        <v>27</v>
      </c>
      <c r="D109" s="5">
        <v>5.4929166666666703E-2</v>
      </c>
      <c r="E109" s="5">
        <v>1.06333333333333E-2</v>
      </c>
      <c r="F109" s="5">
        <f t="shared" si="2"/>
        <v>4.4295833333333402E-2</v>
      </c>
      <c r="G109">
        <f t="shared" si="3"/>
        <v>14.307554166666687</v>
      </c>
    </row>
    <row r="110" spans="1:7">
      <c r="A110" s="1" t="s">
        <v>35</v>
      </c>
      <c r="B110" s="1" t="s">
        <v>33</v>
      </c>
      <c r="C110" s="2" t="s">
        <v>4</v>
      </c>
      <c r="D110" s="5">
        <v>6.3170833333333301E-2</v>
      </c>
      <c r="E110" s="5">
        <v>9.5208333333333308E-3</v>
      </c>
      <c r="F110" s="5">
        <f t="shared" si="2"/>
        <v>5.3649999999999969E-2</v>
      </c>
      <c r="G110">
        <f t="shared" si="3"/>
        <v>17.328949999999985</v>
      </c>
    </row>
    <row r="111" spans="1:7">
      <c r="A111" s="1" t="s">
        <v>35</v>
      </c>
      <c r="B111" s="1" t="s">
        <v>33</v>
      </c>
      <c r="C111" s="2" t="s">
        <v>6</v>
      </c>
      <c r="D111" s="5">
        <v>7.7970833333333295E-2</v>
      </c>
      <c r="E111" s="5">
        <v>2.1020833333333301E-2</v>
      </c>
      <c r="F111" s="5">
        <f t="shared" si="2"/>
        <v>5.6949999999999994E-2</v>
      </c>
      <c r="G111">
        <f t="shared" si="3"/>
        <v>18.394849999999995</v>
      </c>
    </row>
    <row r="112" spans="1:7">
      <c r="A112" s="1" t="s">
        <v>35</v>
      </c>
      <c r="B112" s="1" t="s">
        <v>33</v>
      </c>
      <c r="C112" s="2" t="s">
        <v>7</v>
      </c>
      <c r="D112" s="5">
        <v>7.4970833333333306E-2</v>
      </c>
      <c r="E112" s="5">
        <v>1.60208333333333E-2</v>
      </c>
      <c r="F112" s="5">
        <f t="shared" si="2"/>
        <v>5.8950000000000002E-2</v>
      </c>
      <c r="G112">
        <f t="shared" si="3"/>
        <v>19.040849999999995</v>
      </c>
    </row>
    <row r="113" spans="1:7">
      <c r="A113" s="1" t="s">
        <v>35</v>
      </c>
      <c r="B113" s="1" t="s">
        <v>33</v>
      </c>
      <c r="C113" s="2" t="s">
        <v>8</v>
      </c>
      <c r="D113" s="5">
        <v>5.1570833333333302E-2</v>
      </c>
      <c r="E113" s="5">
        <v>9.3208333333333303E-3</v>
      </c>
      <c r="F113" s="5">
        <f t="shared" si="2"/>
        <v>4.2249999999999968E-2</v>
      </c>
      <c r="G113">
        <f t="shared" si="3"/>
        <v>13.646749999999987</v>
      </c>
    </row>
    <row r="114" spans="1:7">
      <c r="A114" s="1" t="s">
        <v>35</v>
      </c>
      <c r="B114" s="1" t="s">
        <v>33</v>
      </c>
      <c r="C114" s="2" t="s">
        <v>10</v>
      </c>
      <c r="D114" s="5">
        <v>6.2770833333333304E-2</v>
      </c>
      <c r="E114" s="5">
        <v>1.37208333333333E-2</v>
      </c>
      <c r="F114" s="5">
        <f t="shared" si="2"/>
        <v>4.9050000000000003E-2</v>
      </c>
      <c r="G114">
        <f t="shared" si="3"/>
        <v>15.843149999999998</v>
      </c>
    </row>
    <row r="115" spans="1:7">
      <c r="A115" s="1" t="s">
        <v>35</v>
      </c>
      <c r="B115" s="1" t="s">
        <v>33</v>
      </c>
      <c r="C115" s="2" t="s">
        <v>11</v>
      </c>
      <c r="D115" s="5">
        <v>6.7170833333333305E-2</v>
      </c>
      <c r="E115" s="5">
        <v>1.3020833333333299E-2</v>
      </c>
      <c r="F115" s="5">
        <f t="shared" si="2"/>
        <v>5.4150000000000004E-2</v>
      </c>
      <c r="G115">
        <f t="shared" si="3"/>
        <v>17.490449999999999</v>
      </c>
    </row>
    <row r="116" spans="1:7">
      <c r="A116" s="1" t="s">
        <v>35</v>
      </c>
      <c r="B116" s="1" t="s">
        <v>33</v>
      </c>
      <c r="C116" s="2" t="s">
        <v>12</v>
      </c>
      <c r="D116" s="5">
        <v>7.5370833333333304E-2</v>
      </c>
      <c r="E116" s="5">
        <v>1.8220833333333301E-2</v>
      </c>
      <c r="F116" s="5">
        <f t="shared" si="2"/>
        <v>5.7150000000000006E-2</v>
      </c>
      <c r="G116">
        <f t="shared" si="3"/>
        <v>18.459449999999997</v>
      </c>
    </row>
    <row r="117" spans="1:7">
      <c r="A117" s="1" t="s">
        <v>35</v>
      </c>
      <c r="B117" s="1" t="s">
        <v>33</v>
      </c>
      <c r="C117" s="2" t="s">
        <v>14</v>
      </c>
      <c r="D117" s="5">
        <v>7.0270833333333296E-2</v>
      </c>
      <c r="E117" s="5">
        <v>1.46208333333333E-2</v>
      </c>
      <c r="F117" s="5">
        <f t="shared" si="2"/>
        <v>5.5649999999999998E-2</v>
      </c>
      <c r="G117">
        <f t="shared" si="3"/>
        <v>17.974949999999996</v>
      </c>
    </row>
    <row r="118" spans="1:7">
      <c r="A118" s="1" t="s">
        <v>35</v>
      </c>
      <c r="B118" s="1" t="s">
        <v>33</v>
      </c>
      <c r="C118" s="2" t="s">
        <v>15</v>
      </c>
      <c r="D118" s="5">
        <v>7.4570833333333295E-2</v>
      </c>
      <c r="E118" s="5">
        <v>1.51208333333333E-2</v>
      </c>
      <c r="F118" s="5">
        <f t="shared" si="2"/>
        <v>5.9449999999999996E-2</v>
      </c>
      <c r="G118">
        <f t="shared" si="3"/>
        <v>19.202349999999996</v>
      </c>
    </row>
    <row r="119" spans="1:7">
      <c r="A119" s="1" t="s">
        <v>35</v>
      </c>
      <c r="B119" s="1" t="s">
        <v>33</v>
      </c>
      <c r="C119" s="2" t="s">
        <v>16</v>
      </c>
      <c r="D119" s="5">
        <v>7.9970833333333297E-2</v>
      </c>
      <c r="E119" s="5">
        <v>1.55208333333333E-2</v>
      </c>
      <c r="F119" s="5">
        <f t="shared" si="2"/>
        <v>6.4449999999999993E-2</v>
      </c>
      <c r="G119">
        <f t="shared" si="3"/>
        <v>20.817349999999994</v>
      </c>
    </row>
    <row r="120" spans="1:7">
      <c r="A120" s="1" t="s">
        <v>35</v>
      </c>
      <c r="B120" s="1" t="s">
        <v>33</v>
      </c>
      <c r="C120" s="2" t="s">
        <v>18</v>
      </c>
      <c r="D120" s="5">
        <v>7.5970833333333307E-2</v>
      </c>
      <c r="E120" s="5">
        <v>1.38208333333333E-2</v>
      </c>
      <c r="F120" s="5">
        <f t="shared" si="2"/>
        <v>6.2150000000000011E-2</v>
      </c>
      <c r="G120">
        <f t="shared" si="3"/>
        <v>20.074449999999999</v>
      </c>
    </row>
    <row r="121" spans="1:7">
      <c r="A121" s="1" t="s">
        <v>35</v>
      </c>
      <c r="B121" s="1" t="s">
        <v>33</v>
      </c>
      <c r="C121" s="2" t="s">
        <v>19</v>
      </c>
      <c r="D121" s="5">
        <v>6.1070833333333303E-2</v>
      </c>
      <c r="E121" s="5">
        <v>9.9208333333333405E-3</v>
      </c>
      <c r="F121" s="5">
        <f t="shared" si="2"/>
        <v>5.1149999999999959E-2</v>
      </c>
      <c r="G121">
        <f t="shared" si="3"/>
        <v>16.521449999999984</v>
      </c>
    </row>
    <row r="122" spans="1:7">
      <c r="A122" s="1" t="s">
        <v>35</v>
      </c>
      <c r="B122" s="1" t="s">
        <v>33</v>
      </c>
      <c r="C122" s="2" t="s">
        <v>20</v>
      </c>
      <c r="D122" s="5">
        <v>7.8770833333333304E-2</v>
      </c>
      <c r="E122" s="5">
        <v>1.55208333333333E-2</v>
      </c>
      <c r="F122" s="5">
        <f t="shared" si="2"/>
        <v>6.3250000000000001E-2</v>
      </c>
      <c r="G122">
        <f t="shared" si="3"/>
        <v>20.429749999999995</v>
      </c>
    </row>
    <row r="123" spans="1:7">
      <c r="A123" s="1" t="s">
        <v>35</v>
      </c>
      <c r="B123" s="1" t="s">
        <v>33</v>
      </c>
      <c r="C123" s="2" t="s">
        <v>22</v>
      </c>
      <c r="D123" s="5">
        <v>4.3170833333333297E-2</v>
      </c>
      <c r="E123" s="5">
        <v>9.4208333333333401E-3</v>
      </c>
      <c r="F123" s="5">
        <f t="shared" si="2"/>
        <v>3.3749999999999961E-2</v>
      </c>
      <c r="G123">
        <f t="shared" si="3"/>
        <v>10.901249999999987</v>
      </c>
    </row>
    <row r="124" spans="1:7">
      <c r="A124" s="1" t="s">
        <v>35</v>
      </c>
      <c r="B124" s="1" t="s">
        <v>33</v>
      </c>
      <c r="C124" s="2" t="s">
        <v>23</v>
      </c>
      <c r="D124" s="5">
        <v>6.8170833333333306E-2</v>
      </c>
      <c r="E124" s="5">
        <v>1.43208333333333E-2</v>
      </c>
      <c r="F124" s="5">
        <f t="shared" si="2"/>
        <v>5.3850000000000009E-2</v>
      </c>
      <c r="G124">
        <f t="shared" si="3"/>
        <v>17.393550000000001</v>
      </c>
    </row>
    <row r="125" spans="1:7">
      <c r="A125" s="1" t="s">
        <v>35</v>
      </c>
      <c r="B125" s="1" t="s">
        <v>33</v>
      </c>
      <c r="C125" s="2" t="s">
        <v>24</v>
      </c>
      <c r="D125" s="5">
        <v>5.5470833333333303E-2</v>
      </c>
      <c r="E125" s="5">
        <v>1.1320833333333301E-2</v>
      </c>
      <c r="F125" s="5">
        <f t="shared" si="2"/>
        <v>4.4150000000000002E-2</v>
      </c>
      <c r="G125">
        <f t="shared" si="3"/>
        <v>14.260449999999999</v>
      </c>
    </row>
    <row r="126" spans="1:7">
      <c r="A126" s="1" t="s">
        <v>35</v>
      </c>
      <c r="B126" s="1" t="s">
        <v>33</v>
      </c>
      <c r="C126" s="2" t="s">
        <v>26</v>
      </c>
      <c r="D126" s="5">
        <v>6.0570833333333303E-2</v>
      </c>
      <c r="E126" s="5">
        <v>1.15208333333333E-2</v>
      </c>
      <c r="F126" s="5">
        <f t="shared" si="2"/>
        <v>4.9050000000000003E-2</v>
      </c>
      <c r="G126">
        <f t="shared" si="3"/>
        <v>15.843149999999998</v>
      </c>
    </row>
    <row r="127" spans="1:7">
      <c r="A127" s="1" t="s">
        <v>35</v>
      </c>
      <c r="B127" s="1" t="s">
        <v>33</v>
      </c>
      <c r="C127" s="2" t="s">
        <v>27</v>
      </c>
      <c r="D127" s="5">
        <v>6.9470833333333301E-2</v>
      </c>
      <c r="E127" s="5">
        <v>1.29208333333333E-2</v>
      </c>
      <c r="F127" s="5">
        <f t="shared" si="2"/>
        <v>5.6550000000000003E-2</v>
      </c>
      <c r="G127">
        <f t="shared" si="3"/>
        <v>18.265649999999997</v>
      </c>
    </row>
    <row r="128" spans="1:7">
      <c r="A128" s="1" t="s">
        <v>35</v>
      </c>
      <c r="B128" s="1" t="s">
        <v>34</v>
      </c>
      <c r="C128" s="2" t="s">
        <v>4</v>
      </c>
      <c r="D128" s="5">
        <v>6.4174999999999996E-2</v>
      </c>
      <c r="E128" s="5">
        <v>1.2120833333333299E-2</v>
      </c>
      <c r="F128" s="5">
        <f t="shared" si="2"/>
        <v>5.2054166666666693E-2</v>
      </c>
      <c r="G128">
        <f t="shared" si="3"/>
        <v>16.813495833333338</v>
      </c>
    </row>
    <row r="129" spans="1:7">
      <c r="A129" s="1" t="s">
        <v>35</v>
      </c>
      <c r="B129" s="1" t="s">
        <v>34</v>
      </c>
      <c r="C129" s="2" t="s">
        <v>6</v>
      </c>
      <c r="D129" s="5">
        <v>8.2475000000000007E-2</v>
      </c>
      <c r="E129" s="5">
        <v>1.84208333333333E-2</v>
      </c>
      <c r="F129" s="5">
        <f t="shared" si="2"/>
        <v>6.4054166666666704E-2</v>
      </c>
      <c r="G129">
        <f t="shared" si="3"/>
        <v>20.689495833333343</v>
      </c>
    </row>
    <row r="130" spans="1:7">
      <c r="A130" s="1" t="s">
        <v>35</v>
      </c>
      <c r="B130" s="1" t="s">
        <v>34</v>
      </c>
      <c r="C130" s="2" t="s">
        <v>7</v>
      </c>
      <c r="D130" s="5">
        <v>6.9574999999999998E-2</v>
      </c>
      <c r="E130" s="5">
        <v>1.83208333333333E-2</v>
      </c>
      <c r="F130" s="5">
        <f t="shared" si="2"/>
        <v>5.1254166666666698E-2</v>
      </c>
      <c r="G130">
        <f t="shared" si="3"/>
        <v>16.55509583333334</v>
      </c>
    </row>
    <row r="131" spans="1:7">
      <c r="A131" s="1" t="s">
        <v>35</v>
      </c>
      <c r="B131" s="1" t="s">
        <v>34</v>
      </c>
      <c r="C131" s="2" t="s">
        <v>8</v>
      </c>
      <c r="D131" s="5">
        <v>5.9575000000000003E-2</v>
      </c>
      <c r="E131" s="5">
        <v>9.0208333333333304E-3</v>
      </c>
      <c r="F131" s="5">
        <f t="shared" ref="F131:F194" si="4">D131-E131</f>
        <v>5.0554166666666671E-2</v>
      </c>
      <c r="G131">
        <f t="shared" ref="G131:G194" si="5">32.3*F131/0.1</f>
        <v>16.32899583333333</v>
      </c>
    </row>
    <row r="132" spans="1:7">
      <c r="A132" s="1" t="s">
        <v>35</v>
      </c>
      <c r="B132" s="1" t="s">
        <v>34</v>
      </c>
      <c r="C132" s="2" t="s">
        <v>10</v>
      </c>
      <c r="D132" s="5">
        <v>5.3374999999999999E-2</v>
      </c>
      <c r="E132" s="5">
        <v>9.0208333333333304E-3</v>
      </c>
      <c r="F132" s="5">
        <f t="shared" si="4"/>
        <v>4.4354166666666667E-2</v>
      </c>
      <c r="G132">
        <f t="shared" si="5"/>
        <v>14.326395833333331</v>
      </c>
    </row>
    <row r="133" spans="1:7">
      <c r="A133" s="1" t="s">
        <v>35</v>
      </c>
      <c r="B133" s="1" t="s">
        <v>34</v>
      </c>
      <c r="C133" s="2" t="s">
        <v>11</v>
      </c>
      <c r="D133" s="5">
        <v>5.1975E-2</v>
      </c>
      <c r="E133" s="5">
        <v>2.34208333333333E-2</v>
      </c>
      <c r="F133" s="5">
        <f t="shared" si="4"/>
        <v>2.85541666666667E-2</v>
      </c>
      <c r="G133">
        <f t="shared" si="5"/>
        <v>9.2229958333333428</v>
      </c>
    </row>
    <row r="134" spans="1:7">
      <c r="A134" s="1" t="s">
        <v>35</v>
      </c>
      <c r="B134" s="1" t="s">
        <v>34</v>
      </c>
      <c r="C134" s="2" t="s">
        <v>12</v>
      </c>
      <c r="D134" s="5">
        <v>5.7075000000000001E-2</v>
      </c>
      <c r="E134" s="5">
        <v>1.0420833333333299E-2</v>
      </c>
      <c r="F134" s="5">
        <f t="shared" si="4"/>
        <v>4.6654166666666705E-2</v>
      </c>
      <c r="G134">
        <f t="shared" si="5"/>
        <v>15.069295833333344</v>
      </c>
    </row>
    <row r="135" spans="1:7">
      <c r="A135" s="1" t="s">
        <v>35</v>
      </c>
      <c r="B135" s="1" t="s">
        <v>34</v>
      </c>
      <c r="C135" s="2" t="s">
        <v>14</v>
      </c>
      <c r="D135" s="5">
        <v>5.8674999999999998E-2</v>
      </c>
      <c r="E135" s="5">
        <v>1.05208333333333E-2</v>
      </c>
      <c r="F135" s="5">
        <f t="shared" si="4"/>
        <v>4.8154166666666699E-2</v>
      </c>
      <c r="G135">
        <f t="shared" si="5"/>
        <v>15.553795833333341</v>
      </c>
    </row>
    <row r="136" spans="1:7">
      <c r="A136" s="1" t="s">
        <v>35</v>
      </c>
      <c r="B136" s="1" t="s">
        <v>34</v>
      </c>
      <c r="C136" s="2" t="s">
        <v>15</v>
      </c>
      <c r="D136" s="5">
        <v>7.0175000000000001E-2</v>
      </c>
      <c r="E136" s="5">
        <v>1.23208333333333E-2</v>
      </c>
      <c r="F136" s="5">
        <f t="shared" si="4"/>
        <v>5.78541666666667E-2</v>
      </c>
      <c r="G136">
        <f t="shared" si="5"/>
        <v>18.686895833333342</v>
      </c>
    </row>
    <row r="137" spans="1:7">
      <c r="A137" s="1" t="s">
        <v>35</v>
      </c>
      <c r="B137" s="1" t="s">
        <v>34</v>
      </c>
      <c r="C137" s="2" t="s">
        <v>16</v>
      </c>
      <c r="D137" s="5">
        <v>6.0775000000000003E-2</v>
      </c>
      <c r="E137" s="5">
        <v>1.1620833333333301E-2</v>
      </c>
      <c r="F137" s="5">
        <f t="shared" si="4"/>
        <v>4.91541666666667E-2</v>
      </c>
      <c r="G137">
        <f t="shared" si="5"/>
        <v>15.876795833333343</v>
      </c>
    </row>
    <row r="138" spans="1:7">
      <c r="A138" s="1" t="s">
        <v>35</v>
      </c>
      <c r="B138" s="1" t="s">
        <v>34</v>
      </c>
      <c r="C138" s="2" t="s">
        <v>18</v>
      </c>
      <c r="D138" s="5">
        <v>7.8174999999999994E-2</v>
      </c>
      <c r="E138" s="5">
        <v>1.60208333333333E-2</v>
      </c>
      <c r="F138" s="5">
        <f t="shared" si="4"/>
        <v>6.2154166666666691E-2</v>
      </c>
      <c r="G138">
        <f t="shared" si="5"/>
        <v>20.075795833333338</v>
      </c>
    </row>
    <row r="139" spans="1:7">
      <c r="A139" s="1" t="s">
        <v>35</v>
      </c>
      <c r="B139" s="1" t="s">
        <v>34</v>
      </c>
      <c r="C139" s="2" t="s">
        <v>19</v>
      </c>
      <c r="D139" s="5">
        <v>7.0074999999999998E-2</v>
      </c>
      <c r="E139" s="5">
        <v>1.2220833333333301E-2</v>
      </c>
      <c r="F139" s="5">
        <f t="shared" si="4"/>
        <v>5.78541666666667E-2</v>
      </c>
      <c r="G139">
        <f t="shared" si="5"/>
        <v>18.686895833333342</v>
      </c>
    </row>
    <row r="140" spans="1:7">
      <c r="A140" s="1" t="s">
        <v>35</v>
      </c>
      <c r="B140" s="1" t="s">
        <v>34</v>
      </c>
      <c r="C140" s="2" t="s">
        <v>20</v>
      </c>
      <c r="D140" s="5">
        <v>7.4374999999999997E-2</v>
      </c>
      <c r="E140" s="5">
        <v>1.72208333333333E-2</v>
      </c>
      <c r="F140" s="5">
        <f t="shared" si="4"/>
        <v>5.71541666666667E-2</v>
      </c>
      <c r="G140">
        <f t="shared" si="5"/>
        <v>18.460795833333343</v>
      </c>
    </row>
    <row r="141" spans="1:7">
      <c r="A141" s="1" t="s">
        <v>35</v>
      </c>
      <c r="B141" s="1" t="s">
        <v>34</v>
      </c>
      <c r="C141" s="2" t="s">
        <v>22</v>
      </c>
      <c r="D141" s="5">
        <v>6.3274999999999998E-2</v>
      </c>
      <c r="E141" s="5">
        <v>9.6208333333333302E-3</v>
      </c>
      <c r="F141" s="5">
        <f t="shared" si="4"/>
        <v>5.3654166666666669E-2</v>
      </c>
      <c r="G141">
        <f t="shared" si="5"/>
        <v>17.330295833333331</v>
      </c>
    </row>
    <row r="142" spans="1:7">
      <c r="A142" s="1" t="s">
        <v>35</v>
      </c>
      <c r="B142" s="1" t="s">
        <v>34</v>
      </c>
      <c r="C142" s="2" t="s">
        <v>23</v>
      </c>
      <c r="D142" s="5">
        <v>6.2375E-2</v>
      </c>
      <c r="E142" s="5">
        <v>1.03208333333333E-2</v>
      </c>
      <c r="F142" s="5">
        <f t="shared" si="4"/>
        <v>5.20541666666667E-2</v>
      </c>
      <c r="G142">
        <f t="shared" si="5"/>
        <v>16.813495833333342</v>
      </c>
    </row>
    <row r="143" spans="1:7">
      <c r="A143" s="1" t="s">
        <v>35</v>
      </c>
      <c r="B143" s="1" t="s">
        <v>34</v>
      </c>
      <c r="C143" s="2" t="s">
        <v>24</v>
      </c>
      <c r="D143" s="5">
        <v>6.2074999999999998E-2</v>
      </c>
      <c r="E143" s="5">
        <v>1.2120833333333299E-2</v>
      </c>
      <c r="F143" s="5">
        <f t="shared" si="4"/>
        <v>4.9954166666666702E-2</v>
      </c>
      <c r="G143">
        <f t="shared" si="5"/>
        <v>16.135195833333345</v>
      </c>
    </row>
    <row r="144" spans="1:7">
      <c r="A144" s="1" t="s">
        <v>35</v>
      </c>
      <c r="B144" s="1" t="s">
        <v>34</v>
      </c>
      <c r="C144" s="2" t="s">
        <v>26</v>
      </c>
      <c r="D144" s="5">
        <v>5.3175E-2</v>
      </c>
      <c r="E144" s="5">
        <v>6.6208333333333301E-3</v>
      </c>
      <c r="F144" s="5">
        <f t="shared" si="4"/>
        <v>4.6554166666666667E-2</v>
      </c>
      <c r="G144">
        <f t="shared" si="5"/>
        <v>15.036995833333332</v>
      </c>
    </row>
    <row r="145" spans="1:7">
      <c r="A145" s="1" t="s">
        <v>35</v>
      </c>
      <c r="B145" s="1" t="s">
        <v>34</v>
      </c>
      <c r="C145" s="2" t="s">
        <v>27</v>
      </c>
      <c r="D145" s="5">
        <v>3.6674999999999999E-2</v>
      </c>
      <c r="E145" s="5">
        <v>4.1208333333333296E-3</v>
      </c>
      <c r="F145" s="5">
        <f t="shared" si="4"/>
        <v>3.2554166666666669E-2</v>
      </c>
      <c r="G145">
        <f t="shared" si="5"/>
        <v>10.514995833333334</v>
      </c>
    </row>
    <row r="146" spans="1:7">
      <c r="A146" s="1" t="s">
        <v>36</v>
      </c>
      <c r="B146" s="1" t="s">
        <v>37</v>
      </c>
      <c r="C146" s="2" t="s">
        <v>4</v>
      </c>
      <c r="D146" s="5">
        <v>6.0433333333333297E-2</v>
      </c>
      <c r="E146" s="5">
        <v>1.24333333333333E-2</v>
      </c>
      <c r="F146" s="5">
        <f t="shared" si="4"/>
        <v>4.8000000000000001E-2</v>
      </c>
      <c r="G146">
        <f t="shared" si="5"/>
        <v>15.504</v>
      </c>
    </row>
    <row r="147" spans="1:7">
      <c r="A147" s="1" t="s">
        <v>36</v>
      </c>
      <c r="B147" s="1" t="s">
        <v>37</v>
      </c>
      <c r="C147" s="2" t="s">
        <v>6</v>
      </c>
      <c r="D147" s="5">
        <v>7.4533333333333299E-2</v>
      </c>
      <c r="E147" s="5">
        <v>1.5133333333333301E-2</v>
      </c>
      <c r="F147" s="5">
        <f t="shared" si="4"/>
        <v>5.9399999999999994E-2</v>
      </c>
      <c r="G147">
        <f t="shared" si="5"/>
        <v>19.186199999999996</v>
      </c>
    </row>
    <row r="148" spans="1:7">
      <c r="A148" s="1" t="s">
        <v>36</v>
      </c>
      <c r="B148" s="1" t="s">
        <v>37</v>
      </c>
      <c r="C148" s="2" t="s">
        <v>7</v>
      </c>
      <c r="D148" s="5">
        <v>6.8633333333333296E-2</v>
      </c>
      <c r="E148" s="5">
        <v>1.69333333333333E-2</v>
      </c>
      <c r="F148" s="5">
        <f t="shared" si="4"/>
        <v>5.1699999999999996E-2</v>
      </c>
      <c r="G148">
        <f t="shared" si="5"/>
        <v>16.699099999999998</v>
      </c>
    </row>
    <row r="149" spans="1:7">
      <c r="A149" s="1" t="s">
        <v>36</v>
      </c>
      <c r="B149" s="1" t="s">
        <v>37</v>
      </c>
      <c r="C149" s="2" t="s">
        <v>8</v>
      </c>
      <c r="D149" s="5">
        <v>6.4533333333333304E-2</v>
      </c>
      <c r="E149" s="5">
        <v>1.40333333333333E-2</v>
      </c>
      <c r="F149" s="5">
        <f t="shared" si="4"/>
        <v>5.0500000000000003E-2</v>
      </c>
      <c r="G149">
        <f t="shared" si="5"/>
        <v>16.311499999999999</v>
      </c>
    </row>
    <row r="150" spans="1:7">
      <c r="A150" s="1" t="s">
        <v>36</v>
      </c>
      <c r="B150" s="1" t="s">
        <v>37</v>
      </c>
      <c r="C150" s="2" t="s">
        <v>10</v>
      </c>
      <c r="D150" s="5">
        <v>4.28333333333333E-2</v>
      </c>
      <c r="E150" s="5">
        <v>8.3333333333333297E-3</v>
      </c>
      <c r="F150" s="5">
        <f t="shared" si="4"/>
        <v>3.4499999999999968E-2</v>
      </c>
      <c r="G150">
        <f t="shared" si="5"/>
        <v>11.143499999999987</v>
      </c>
    </row>
    <row r="151" spans="1:7">
      <c r="A151" s="1" t="s">
        <v>36</v>
      </c>
      <c r="B151" s="1" t="s">
        <v>37</v>
      </c>
      <c r="C151" s="2" t="s">
        <v>11</v>
      </c>
      <c r="D151" s="5">
        <v>5.54333333333333E-2</v>
      </c>
      <c r="E151" s="5">
        <v>1.1133333333333301E-2</v>
      </c>
      <c r="F151" s="5">
        <f t="shared" si="4"/>
        <v>4.4299999999999999E-2</v>
      </c>
      <c r="G151">
        <f t="shared" si="5"/>
        <v>14.308899999999998</v>
      </c>
    </row>
    <row r="152" spans="1:7">
      <c r="A152" s="1" t="s">
        <v>36</v>
      </c>
      <c r="B152" s="1" t="s">
        <v>37</v>
      </c>
      <c r="C152" s="2" t="s">
        <v>12</v>
      </c>
      <c r="D152" s="5">
        <v>6.6533333333333305E-2</v>
      </c>
      <c r="E152" s="5">
        <v>1.81333333333333E-2</v>
      </c>
      <c r="F152" s="5">
        <f t="shared" si="4"/>
        <v>4.8400000000000006E-2</v>
      </c>
      <c r="G152">
        <f t="shared" si="5"/>
        <v>15.6332</v>
      </c>
    </row>
    <row r="153" spans="1:7">
      <c r="A153" s="1" t="s">
        <v>36</v>
      </c>
      <c r="B153" s="1" t="s">
        <v>37</v>
      </c>
      <c r="C153" s="2" t="s">
        <v>14</v>
      </c>
      <c r="D153" s="5">
        <v>6.3533333333333303E-2</v>
      </c>
      <c r="E153" s="5">
        <v>1.8433333333333302E-2</v>
      </c>
      <c r="F153" s="5">
        <f t="shared" si="4"/>
        <v>4.5100000000000001E-2</v>
      </c>
      <c r="G153">
        <f t="shared" si="5"/>
        <v>14.567299999999998</v>
      </c>
    </row>
    <row r="154" spans="1:7">
      <c r="A154" s="1" t="s">
        <v>36</v>
      </c>
      <c r="B154" s="1" t="s">
        <v>37</v>
      </c>
      <c r="C154" s="2" t="s">
        <v>15</v>
      </c>
      <c r="D154" s="5">
        <v>6.3833333333333298E-2</v>
      </c>
      <c r="E154" s="5">
        <v>2.3433333333333299E-2</v>
      </c>
      <c r="F154" s="5">
        <f t="shared" si="4"/>
        <v>4.0399999999999998E-2</v>
      </c>
      <c r="G154">
        <f t="shared" si="5"/>
        <v>13.049199999999997</v>
      </c>
    </row>
    <row r="155" spans="1:7">
      <c r="A155" s="1" t="s">
        <v>36</v>
      </c>
      <c r="B155" s="1" t="s">
        <v>37</v>
      </c>
      <c r="C155" s="2" t="s">
        <v>16</v>
      </c>
      <c r="D155" s="5">
        <v>4.5833333333333302E-2</v>
      </c>
      <c r="E155" s="5">
        <v>6.8333333333333397E-3</v>
      </c>
      <c r="F155" s="5">
        <f t="shared" si="4"/>
        <v>3.8999999999999965E-2</v>
      </c>
      <c r="G155">
        <f t="shared" si="5"/>
        <v>12.596999999999987</v>
      </c>
    </row>
    <row r="156" spans="1:7">
      <c r="A156" s="1" t="s">
        <v>36</v>
      </c>
      <c r="B156" s="1" t="s">
        <v>37</v>
      </c>
      <c r="C156" s="2" t="s">
        <v>18</v>
      </c>
      <c r="D156" s="5">
        <v>5.8633333333333301E-2</v>
      </c>
      <c r="E156" s="5">
        <v>1.9633333333333301E-2</v>
      </c>
      <c r="F156" s="5">
        <f t="shared" si="4"/>
        <v>3.9E-2</v>
      </c>
      <c r="G156">
        <f t="shared" si="5"/>
        <v>12.596999999999998</v>
      </c>
    </row>
    <row r="157" spans="1:7">
      <c r="A157" s="1" t="s">
        <v>36</v>
      </c>
      <c r="B157" s="1" t="s">
        <v>37</v>
      </c>
      <c r="C157" s="2" t="s">
        <v>19</v>
      </c>
      <c r="D157" s="5">
        <v>4.6133333333333297E-2</v>
      </c>
      <c r="E157" s="5">
        <v>8.3333333333333297E-3</v>
      </c>
      <c r="F157" s="5">
        <f t="shared" si="4"/>
        <v>3.7799999999999966E-2</v>
      </c>
      <c r="G157">
        <f t="shared" si="5"/>
        <v>12.209399999999988</v>
      </c>
    </row>
    <row r="158" spans="1:7">
      <c r="A158" s="1" t="s">
        <v>36</v>
      </c>
      <c r="B158" s="1" t="s">
        <v>37</v>
      </c>
      <c r="C158" s="2" t="s">
        <v>20</v>
      </c>
      <c r="D158" s="5">
        <v>6.7033333333333306E-2</v>
      </c>
      <c r="E158" s="5">
        <v>1.5433333333333301E-2</v>
      </c>
      <c r="F158" s="5">
        <f t="shared" si="4"/>
        <v>5.1600000000000007E-2</v>
      </c>
      <c r="G158">
        <f t="shared" si="5"/>
        <v>16.666800000000002</v>
      </c>
    </row>
    <row r="159" spans="1:7">
      <c r="A159" s="1" t="s">
        <v>36</v>
      </c>
      <c r="B159" s="1" t="s">
        <v>37</v>
      </c>
      <c r="C159" s="2" t="s">
        <v>22</v>
      </c>
      <c r="D159" s="5">
        <v>5.2833333333333302E-2</v>
      </c>
      <c r="E159" s="5">
        <v>1.5133333333333301E-2</v>
      </c>
      <c r="F159" s="5">
        <f t="shared" si="4"/>
        <v>3.7699999999999997E-2</v>
      </c>
      <c r="G159">
        <f t="shared" si="5"/>
        <v>12.177099999999998</v>
      </c>
    </row>
    <row r="160" spans="1:7">
      <c r="A160" s="1" t="s">
        <v>36</v>
      </c>
      <c r="B160" s="1" t="s">
        <v>37</v>
      </c>
      <c r="C160" s="2" t="s">
        <v>23</v>
      </c>
      <c r="D160" s="5">
        <v>6.5433333333333302E-2</v>
      </c>
      <c r="E160" s="5">
        <v>1.3733333333333301E-2</v>
      </c>
      <c r="F160" s="5">
        <f t="shared" si="4"/>
        <v>5.1700000000000003E-2</v>
      </c>
      <c r="G160">
        <f t="shared" si="5"/>
        <v>16.699099999999998</v>
      </c>
    </row>
    <row r="161" spans="1:7">
      <c r="A161" s="1" t="s">
        <v>36</v>
      </c>
      <c r="B161" s="1" t="s">
        <v>37</v>
      </c>
      <c r="C161" s="2" t="s">
        <v>24</v>
      </c>
      <c r="D161" s="5">
        <v>6.2833333333333297E-2</v>
      </c>
      <c r="E161" s="5">
        <v>1.26333333333333E-2</v>
      </c>
      <c r="F161" s="5">
        <f t="shared" si="4"/>
        <v>5.0199999999999995E-2</v>
      </c>
      <c r="G161">
        <f t="shared" si="5"/>
        <v>16.214599999999997</v>
      </c>
    </row>
    <row r="162" spans="1:7">
      <c r="A162" s="1" t="s">
        <v>36</v>
      </c>
      <c r="B162" s="1" t="s">
        <v>37</v>
      </c>
      <c r="C162" s="2" t="s">
        <v>26</v>
      </c>
      <c r="D162" s="5">
        <v>5.2233333333333298E-2</v>
      </c>
      <c r="E162" s="5">
        <v>1.10333333333333E-2</v>
      </c>
      <c r="F162" s="5">
        <f t="shared" si="4"/>
        <v>4.1200000000000001E-2</v>
      </c>
      <c r="G162">
        <f t="shared" si="5"/>
        <v>13.307599999999999</v>
      </c>
    </row>
    <row r="163" spans="1:7">
      <c r="A163" s="1" t="s">
        <v>36</v>
      </c>
      <c r="B163" s="1" t="s">
        <v>37</v>
      </c>
      <c r="C163" s="2" t="s">
        <v>27</v>
      </c>
      <c r="D163" s="5">
        <v>5.9433333333333303E-2</v>
      </c>
      <c r="E163" s="5">
        <v>1.1633333333333299E-2</v>
      </c>
      <c r="F163" s="5">
        <f t="shared" si="4"/>
        <v>4.7800000000000002E-2</v>
      </c>
      <c r="G163">
        <f t="shared" si="5"/>
        <v>15.439399999999997</v>
      </c>
    </row>
    <row r="164" spans="1:7">
      <c r="A164" s="1" t="s">
        <v>36</v>
      </c>
      <c r="B164" s="1" t="s">
        <v>38</v>
      </c>
      <c r="C164" s="2" t="s">
        <v>4</v>
      </c>
      <c r="D164" s="5">
        <v>7.0775000000000005E-2</v>
      </c>
      <c r="E164" s="5">
        <v>1.34208333333333E-2</v>
      </c>
      <c r="F164" s="5">
        <f t="shared" si="4"/>
        <v>5.7354166666666706E-2</v>
      </c>
      <c r="G164">
        <f t="shared" si="5"/>
        <v>18.525395833333345</v>
      </c>
    </row>
    <row r="165" spans="1:7">
      <c r="A165" s="1" t="s">
        <v>36</v>
      </c>
      <c r="B165" s="1" t="s">
        <v>38</v>
      </c>
      <c r="C165" s="2" t="s">
        <v>6</v>
      </c>
      <c r="D165" s="5">
        <v>6.9574999999999998E-2</v>
      </c>
      <c r="E165" s="5">
        <v>1.1920833333333301E-2</v>
      </c>
      <c r="F165" s="5">
        <f t="shared" si="4"/>
        <v>5.7654166666666701E-2</v>
      </c>
      <c r="G165">
        <f t="shared" si="5"/>
        <v>18.622295833333339</v>
      </c>
    </row>
    <row r="166" spans="1:7">
      <c r="A166" s="1" t="s">
        <v>36</v>
      </c>
      <c r="B166" s="1" t="s">
        <v>38</v>
      </c>
      <c r="C166" s="2" t="s">
        <v>7</v>
      </c>
      <c r="D166" s="5">
        <v>6.7775000000000002E-2</v>
      </c>
      <c r="E166" s="5">
        <v>1.28208333333333E-2</v>
      </c>
      <c r="F166" s="5">
        <f t="shared" si="4"/>
        <v>5.49541666666667E-2</v>
      </c>
      <c r="G166">
        <f t="shared" si="5"/>
        <v>17.75019583333334</v>
      </c>
    </row>
    <row r="167" spans="1:7">
      <c r="A167" s="1" t="s">
        <v>36</v>
      </c>
      <c r="B167" s="1" t="s">
        <v>38</v>
      </c>
      <c r="C167" s="2" t="s">
        <v>8</v>
      </c>
      <c r="D167" s="5">
        <v>7.2974999999999998E-2</v>
      </c>
      <c r="E167" s="5">
        <v>1.3320833333333299E-2</v>
      </c>
      <c r="F167" s="5">
        <f t="shared" si="4"/>
        <v>5.9654166666666703E-2</v>
      </c>
      <c r="G167">
        <f t="shared" si="5"/>
        <v>19.268295833333344</v>
      </c>
    </row>
    <row r="168" spans="1:7">
      <c r="A168" s="1" t="s">
        <v>36</v>
      </c>
      <c r="B168" s="1" t="s">
        <v>38</v>
      </c>
      <c r="C168" s="2" t="s">
        <v>10</v>
      </c>
      <c r="D168" s="5">
        <v>7.1175000000000002E-2</v>
      </c>
      <c r="E168" s="5">
        <v>2.1020833333333301E-2</v>
      </c>
      <c r="F168" s="5">
        <f t="shared" si="4"/>
        <v>5.0154166666666701E-2</v>
      </c>
      <c r="G168">
        <f t="shared" si="5"/>
        <v>16.199795833333344</v>
      </c>
    </row>
    <row r="169" spans="1:7">
      <c r="A169" s="1" t="s">
        <v>36</v>
      </c>
      <c r="B169" s="1" t="s">
        <v>38</v>
      </c>
      <c r="C169" s="2" t="s">
        <v>11</v>
      </c>
      <c r="D169" s="5">
        <v>4.7475000000000003E-2</v>
      </c>
      <c r="E169" s="5">
        <v>6.3208333333333302E-3</v>
      </c>
      <c r="F169" s="5">
        <f t="shared" si="4"/>
        <v>4.1154166666666672E-2</v>
      </c>
      <c r="G169">
        <f t="shared" si="5"/>
        <v>13.292795833333333</v>
      </c>
    </row>
    <row r="170" spans="1:7">
      <c r="A170" s="1" t="s">
        <v>36</v>
      </c>
      <c r="B170" s="1" t="s">
        <v>38</v>
      </c>
      <c r="C170" s="2" t="s">
        <v>12</v>
      </c>
      <c r="D170" s="5">
        <v>7.3374999999999996E-2</v>
      </c>
      <c r="E170" s="5">
        <v>1.38208333333333E-2</v>
      </c>
      <c r="F170" s="5">
        <f t="shared" si="4"/>
        <v>5.95541666666667E-2</v>
      </c>
      <c r="G170">
        <f t="shared" si="5"/>
        <v>19.235995833333341</v>
      </c>
    </row>
    <row r="171" spans="1:7">
      <c r="A171" s="1" t="s">
        <v>36</v>
      </c>
      <c r="B171" s="1" t="s">
        <v>38</v>
      </c>
      <c r="C171" s="2" t="s">
        <v>14</v>
      </c>
      <c r="D171" s="5">
        <v>6.2875E-2</v>
      </c>
      <c r="E171" s="5">
        <v>1.05208333333333E-2</v>
      </c>
      <c r="F171" s="5">
        <f t="shared" si="4"/>
        <v>5.2354166666666702E-2</v>
      </c>
      <c r="G171">
        <f t="shared" si="5"/>
        <v>16.910395833333343</v>
      </c>
    </row>
    <row r="172" spans="1:7">
      <c r="A172" s="1" t="s">
        <v>36</v>
      </c>
      <c r="B172" s="1" t="s">
        <v>38</v>
      </c>
      <c r="C172" s="2" t="s">
        <v>15</v>
      </c>
      <c r="D172" s="5">
        <v>5.1575000000000003E-2</v>
      </c>
      <c r="E172" s="5">
        <v>8.1208333333333306E-3</v>
      </c>
      <c r="F172" s="5">
        <f t="shared" si="4"/>
        <v>4.3454166666666669E-2</v>
      </c>
      <c r="G172">
        <f t="shared" si="5"/>
        <v>14.035695833333332</v>
      </c>
    </row>
    <row r="173" spans="1:7">
      <c r="A173" s="1" t="s">
        <v>36</v>
      </c>
      <c r="B173" s="1" t="s">
        <v>38</v>
      </c>
      <c r="C173" s="2" t="s">
        <v>16</v>
      </c>
      <c r="D173" s="5">
        <v>5.8775000000000001E-2</v>
      </c>
      <c r="E173" s="5">
        <v>1.06208333333333E-2</v>
      </c>
      <c r="F173" s="5">
        <f t="shared" si="4"/>
        <v>4.8154166666666699E-2</v>
      </c>
      <c r="G173">
        <f t="shared" si="5"/>
        <v>15.553795833333341</v>
      </c>
    </row>
    <row r="174" spans="1:7">
      <c r="A174" s="1" t="s">
        <v>36</v>
      </c>
      <c r="B174" s="1" t="s">
        <v>38</v>
      </c>
      <c r="C174" s="2" t="s">
        <v>18</v>
      </c>
      <c r="D174" s="5">
        <v>5.7275E-2</v>
      </c>
      <c r="E174" s="5">
        <v>1.0220833333333301E-2</v>
      </c>
      <c r="F174" s="5">
        <f t="shared" si="4"/>
        <v>4.7054166666666702E-2</v>
      </c>
      <c r="G174">
        <f t="shared" si="5"/>
        <v>15.198495833333343</v>
      </c>
    </row>
    <row r="175" spans="1:7">
      <c r="A175" s="1" t="s">
        <v>36</v>
      </c>
      <c r="B175" s="1" t="s">
        <v>38</v>
      </c>
      <c r="C175" s="2" t="s">
        <v>19</v>
      </c>
      <c r="D175" s="5">
        <v>7.4175000000000005E-2</v>
      </c>
      <c r="E175" s="5">
        <v>1.52208333333333E-2</v>
      </c>
      <c r="F175" s="5">
        <f t="shared" si="4"/>
        <v>5.8954166666666703E-2</v>
      </c>
      <c r="G175">
        <f t="shared" si="5"/>
        <v>19.042195833333341</v>
      </c>
    </row>
    <row r="176" spans="1:7">
      <c r="A176" s="1" t="s">
        <v>36</v>
      </c>
      <c r="B176" s="1" t="s">
        <v>38</v>
      </c>
      <c r="C176" s="2" t="s">
        <v>20</v>
      </c>
      <c r="D176" s="5">
        <v>3.7874999999999999E-2</v>
      </c>
      <c r="E176" s="5">
        <v>6.0208333333333303E-3</v>
      </c>
      <c r="F176" s="5">
        <f t="shared" si="4"/>
        <v>3.185416666666667E-2</v>
      </c>
      <c r="G176">
        <f t="shared" si="5"/>
        <v>10.288895833333333</v>
      </c>
    </row>
    <row r="177" spans="1:7">
      <c r="A177" s="1" t="s">
        <v>36</v>
      </c>
      <c r="B177" s="1" t="s">
        <v>38</v>
      </c>
      <c r="C177" s="2" t="s">
        <v>22</v>
      </c>
      <c r="D177" s="5">
        <v>5.1075000000000002E-2</v>
      </c>
      <c r="E177" s="5">
        <v>8.8208333333333298E-3</v>
      </c>
      <c r="F177" s="5">
        <f t="shared" si="4"/>
        <v>4.2254166666666676E-2</v>
      </c>
      <c r="G177">
        <f t="shared" si="5"/>
        <v>13.648095833333334</v>
      </c>
    </row>
    <row r="178" spans="1:7">
      <c r="A178" s="1" t="s">
        <v>36</v>
      </c>
      <c r="B178" s="1" t="s">
        <v>38</v>
      </c>
      <c r="C178" s="2" t="s">
        <v>23</v>
      </c>
      <c r="D178" s="5">
        <v>6.3375000000000001E-2</v>
      </c>
      <c r="E178" s="5">
        <v>1.20208333333333E-2</v>
      </c>
      <c r="F178" s="5">
        <f t="shared" si="4"/>
        <v>5.1354166666666701E-2</v>
      </c>
      <c r="G178">
        <f t="shared" si="5"/>
        <v>16.587395833333343</v>
      </c>
    </row>
    <row r="179" spans="1:7">
      <c r="A179" s="1" t="s">
        <v>36</v>
      </c>
      <c r="B179" s="1" t="s">
        <v>38</v>
      </c>
      <c r="C179" s="2" t="s">
        <v>24</v>
      </c>
      <c r="D179" s="5">
        <v>7.1474999999999997E-2</v>
      </c>
      <c r="E179" s="5">
        <v>1.31208333333333E-2</v>
      </c>
      <c r="F179" s="5">
        <f t="shared" si="4"/>
        <v>5.8354166666666693E-2</v>
      </c>
      <c r="G179">
        <f t="shared" si="5"/>
        <v>18.848395833333338</v>
      </c>
    </row>
    <row r="180" spans="1:7">
      <c r="A180" s="1" t="s">
        <v>36</v>
      </c>
      <c r="B180" s="1" t="s">
        <v>38</v>
      </c>
      <c r="C180" s="2" t="s">
        <v>26</v>
      </c>
      <c r="D180" s="5">
        <v>6.9775000000000004E-2</v>
      </c>
      <c r="E180" s="5">
        <v>1.40208333333333E-2</v>
      </c>
      <c r="F180" s="5">
        <f t="shared" si="4"/>
        <v>5.5754166666666702E-2</v>
      </c>
      <c r="G180">
        <f t="shared" si="5"/>
        <v>18.008595833333342</v>
      </c>
    </row>
    <row r="181" spans="1:7">
      <c r="A181" s="1" t="s">
        <v>36</v>
      </c>
      <c r="B181" s="1" t="s">
        <v>38</v>
      </c>
      <c r="C181" s="2" t="s">
        <v>27</v>
      </c>
      <c r="D181" s="5">
        <v>5.6274999999999999E-2</v>
      </c>
      <c r="E181" s="5">
        <v>8.9208333333333292E-3</v>
      </c>
      <c r="F181" s="5">
        <f t="shared" si="4"/>
        <v>4.7354166666666669E-2</v>
      </c>
      <c r="G181">
        <f t="shared" si="5"/>
        <v>15.295395833333334</v>
      </c>
    </row>
    <row r="182" spans="1:7">
      <c r="A182" s="1" t="s">
        <v>36</v>
      </c>
      <c r="B182" s="1" t="s">
        <v>39</v>
      </c>
      <c r="C182" s="2" t="s">
        <v>4</v>
      </c>
      <c r="D182" s="5">
        <v>3.18291666666667E-2</v>
      </c>
      <c r="E182" s="5">
        <v>4.4333333333333403E-3</v>
      </c>
      <c r="F182" s="5">
        <f t="shared" si="4"/>
        <v>2.7395833333333359E-2</v>
      </c>
      <c r="G182">
        <f t="shared" si="5"/>
        <v>8.8488541666666745</v>
      </c>
    </row>
    <row r="183" spans="1:7">
      <c r="A183" s="1" t="s">
        <v>36</v>
      </c>
      <c r="B183" s="1" t="s">
        <v>39</v>
      </c>
      <c r="C183" s="2" t="s">
        <v>6</v>
      </c>
      <c r="D183" s="5">
        <v>1.6129166666666701E-2</v>
      </c>
      <c r="E183" s="5">
        <v>4.3333333333333402E-4</v>
      </c>
      <c r="F183" s="5">
        <f t="shared" si="4"/>
        <v>1.5695833333333367E-2</v>
      </c>
      <c r="G183">
        <f t="shared" si="5"/>
        <v>5.0697541666666766</v>
      </c>
    </row>
    <row r="184" spans="1:7">
      <c r="A184" s="1" t="s">
        <v>36</v>
      </c>
      <c r="B184" s="1" t="s">
        <v>39</v>
      </c>
      <c r="C184" s="2" t="s">
        <v>7</v>
      </c>
      <c r="D184" s="5">
        <v>3.6029166666666702E-2</v>
      </c>
      <c r="E184" s="5">
        <v>4.9333333333333304E-3</v>
      </c>
      <c r="F184" s="5">
        <f t="shared" si="4"/>
        <v>3.1095833333333371E-2</v>
      </c>
      <c r="G184">
        <f t="shared" si="5"/>
        <v>10.043954166666676</v>
      </c>
    </row>
    <row r="185" spans="1:7">
      <c r="A185" s="1" t="s">
        <v>36</v>
      </c>
      <c r="B185" s="1" t="s">
        <v>39</v>
      </c>
      <c r="C185" s="2" t="s">
        <v>8</v>
      </c>
      <c r="D185" s="5">
        <v>1.86291666666667E-2</v>
      </c>
      <c r="E185" s="5">
        <v>1.9333333333333401E-3</v>
      </c>
      <c r="F185" s="5">
        <f t="shared" si="4"/>
        <v>1.6695833333333361E-2</v>
      </c>
      <c r="G185">
        <f t="shared" si="5"/>
        <v>5.3927541666666752</v>
      </c>
    </row>
    <row r="186" spans="1:7">
      <c r="A186" s="1" t="s">
        <v>36</v>
      </c>
      <c r="B186" s="1" t="s">
        <v>39</v>
      </c>
      <c r="C186" s="2" t="s">
        <v>10</v>
      </c>
      <c r="D186" s="5">
        <v>2.78291666666667E-2</v>
      </c>
      <c r="E186" s="5">
        <v>2.8333333333333301E-3</v>
      </c>
      <c r="F186" s="5">
        <f t="shared" si="4"/>
        <v>2.499583333333337E-2</v>
      </c>
      <c r="G186">
        <f t="shared" si="5"/>
        <v>8.0736541666666763</v>
      </c>
    </row>
    <row r="187" spans="1:7">
      <c r="A187" s="1" t="s">
        <v>36</v>
      </c>
      <c r="B187" s="1" t="s">
        <v>39</v>
      </c>
      <c r="C187" s="2" t="s">
        <v>11</v>
      </c>
      <c r="D187" s="5">
        <v>3.1129166666666701E-2</v>
      </c>
      <c r="E187" s="5">
        <v>3.4333333333333399E-3</v>
      </c>
      <c r="F187" s="5">
        <f t="shared" si="4"/>
        <v>2.769583333333336E-2</v>
      </c>
      <c r="G187">
        <f t="shared" si="5"/>
        <v>8.9457541666666742</v>
      </c>
    </row>
    <row r="188" spans="1:7">
      <c r="A188" s="1" t="s">
        <v>36</v>
      </c>
      <c r="B188" s="1" t="s">
        <v>39</v>
      </c>
      <c r="C188" s="2" t="s">
        <v>12</v>
      </c>
      <c r="D188" s="5">
        <v>4.32291666666667E-2</v>
      </c>
      <c r="E188" s="5">
        <v>5.2333333333333303E-3</v>
      </c>
      <c r="F188" s="5">
        <f t="shared" si="4"/>
        <v>3.7995833333333368E-2</v>
      </c>
      <c r="G188">
        <f t="shared" si="5"/>
        <v>12.272654166666676</v>
      </c>
    </row>
    <row r="189" spans="1:7">
      <c r="A189" s="1" t="s">
        <v>36</v>
      </c>
      <c r="B189" s="1" t="s">
        <v>39</v>
      </c>
      <c r="C189" s="2" t="s">
        <v>14</v>
      </c>
      <c r="D189" s="5">
        <v>4.9729166666666699E-2</v>
      </c>
      <c r="E189" s="5">
        <v>7.2333333333333303E-3</v>
      </c>
      <c r="F189" s="5">
        <f t="shared" si="4"/>
        <v>4.2495833333333372E-2</v>
      </c>
      <c r="G189">
        <f t="shared" si="5"/>
        <v>13.726154166666676</v>
      </c>
    </row>
    <row r="190" spans="1:7">
      <c r="A190" s="1" t="s">
        <v>36</v>
      </c>
      <c r="B190" s="1" t="s">
        <v>39</v>
      </c>
      <c r="C190" s="2" t="s">
        <v>15</v>
      </c>
      <c r="D190" s="5">
        <v>4.3529166666666702E-2</v>
      </c>
      <c r="E190" s="5">
        <v>5.3333333333333401E-3</v>
      </c>
      <c r="F190" s="5">
        <f t="shared" si="4"/>
        <v>3.8195833333333359E-2</v>
      </c>
      <c r="G190">
        <f t="shared" si="5"/>
        <v>12.337254166666673</v>
      </c>
    </row>
    <row r="191" spans="1:7">
      <c r="A191" s="1" t="s">
        <v>36</v>
      </c>
      <c r="B191" s="1" t="s">
        <v>39</v>
      </c>
      <c r="C191" s="2" t="s">
        <v>16</v>
      </c>
      <c r="D191" s="5">
        <v>2.9429166666666701E-2</v>
      </c>
      <c r="E191" s="5">
        <v>3.9333333333333399E-3</v>
      </c>
      <c r="F191" s="5">
        <f t="shared" si="4"/>
        <v>2.549583333333336E-2</v>
      </c>
      <c r="G191">
        <f t="shared" si="5"/>
        <v>8.2351541666666748</v>
      </c>
    </row>
    <row r="192" spans="1:7">
      <c r="A192" s="1" t="s">
        <v>36</v>
      </c>
      <c r="B192" s="1" t="s">
        <v>39</v>
      </c>
      <c r="C192" s="2" t="s">
        <v>18</v>
      </c>
      <c r="D192" s="5">
        <v>2.1629166666666699E-2</v>
      </c>
      <c r="E192" s="5">
        <v>2.5333333333333301E-3</v>
      </c>
      <c r="F192" s="5">
        <f t="shared" si="4"/>
        <v>1.9095833333333367E-2</v>
      </c>
      <c r="G192">
        <f t="shared" si="5"/>
        <v>6.1679541666666768</v>
      </c>
    </row>
    <row r="193" spans="1:7">
      <c r="A193" s="1" t="s">
        <v>36</v>
      </c>
      <c r="B193" s="1" t="s">
        <v>39</v>
      </c>
      <c r="C193" s="2" t="s">
        <v>19</v>
      </c>
      <c r="D193" s="5">
        <v>3.5829166666666697E-2</v>
      </c>
      <c r="E193" s="5">
        <v>5.63333333333334E-3</v>
      </c>
      <c r="F193" s="5">
        <f t="shared" si="4"/>
        <v>3.0195833333333356E-2</v>
      </c>
      <c r="G193">
        <f t="shared" si="5"/>
        <v>9.7532541666666717</v>
      </c>
    </row>
    <row r="194" spans="1:7">
      <c r="A194" s="1" t="s">
        <v>36</v>
      </c>
      <c r="B194" s="1" t="s">
        <v>39</v>
      </c>
      <c r="C194" s="2" t="s">
        <v>20</v>
      </c>
      <c r="D194" s="5">
        <v>3.0529166666666701E-2</v>
      </c>
      <c r="E194" s="5">
        <v>3.63333333333334E-3</v>
      </c>
      <c r="F194" s="5">
        <f t="shared" si="4"/>
        <v>2.6895833333333362E-2</v>
      </c>
      <c r="G194">
        <f t="shared" si="5"/>
        <v>8.6873541666666743</v>
      </c>
    </row>
    <row r="195" spans="1:7">
      <c r="A195" s="1" t="s">
        <v>36</v>
      </c>
      <c r="B195" s="1" t="s">
        <v>39</v>
      </c>
      <c r="C195" s="2" t="s">
        <v>22</v>
      </c>
      <c r="D195" s="5">
        <v>3.9129166666666701E-2</v>
      </c>
      <c r="E195" s="5">
        <v>5.8333333333333397E-3</v>
      </c>
      <c r="F195" s="5">
        <f t="shared" ref="F195:F258" si="6">D195-E195</f>
        <v>3.3295833333333358E-2</v>
      </c>
      <c r="G195">
        <f t="shared" ref="G195:G258" si="7">32.3*F195/0.1</f>
        <v>10.754554166666674</v>
      </c>
    </row>
    <row r="196" spans="1:7">
      <c r="A196" s="1" t="s">
        <v>36</v>
      </c>
      <c r="B196" s="1" t="s">
        <v>39</v>
      </c>
      <c r="C196" s="2" t="s">
        <v>23</v>
      </c>
      <c r="D196" s="5">
        <v>3.5429166666666699E-2</v>
      </c>
      <c r="E196" s="5">
        <v>4.9333333333333304E-3</v>
      </c>
      <c r="F196" s="5">
        <f t="shared" si="6"/>
        <v>3.0495833333333368E-2</v>
      </c>
      <c r="G196">
        <f t="shared" si="7"/>
        <v>9.8501541666666768</v>
      </c>
    </row>
    <row r="197" spans="1:7">
      <c r="A197" s="1" t="s">
        <v>36</v>
      </c>
      <c r="B197" s="1" t="s">
        <v>39</v>
      </c>
      <c r="C197" s="2" t="s">
        <v>24</v>
      </c>
      <c r="D197" s="5">
        <v>3.1929166666666703E-2</v>
      </c>
      <c r="E197" s="5">
        <v>4.7333333333333298E-3</v>
      </c>
      <c r="F197" s="5">
        <f t="shared" si="6"/>
        <v>2.7195833333333374E-2</v>
      </c>
      <c r="G197">
        <f t="shared" si="7"/>
        <v>8.7842541666666776</v>
      </c>
    </row>
    <row r="198" spans="1:7">
      <c r="A198" s="1" t="s">
        <v>36</v>
      </c>
      <c r="B198" s="1" t="s">
        <v>39</v>
      </c>
      <c r="C198" s="2" t="s">
        <v>26</v>
      </c>
      <c r="D198" s="5">
        <v>2.5929166666666701E-2</v>
      </c>
      <c r="E198" s="5">
        <v>3.3333333333333301E-3</v>
      </c>
      <c r="F198" s="5">
        <f t="shared" si="6"/>
        <v>2.2595833333333371E-2</v>
      </c>
      <c r="G198">
        <f t="shared" si="7"/>
        <v>7.2984541666666773</v>
      </c>
    </row>
    <row r="199" spans="1:7">
      <c r="A199" s="1" t="s">
        <v>36</v>
      </c>
      <c r="B199" s="1" t="s">
        <v>39</v>
      </c>
      <c r="C199" s="2" t="s">
        <v>27</v>
      </c>
      <c r="D199" s="5">
        <v>3.6629166666666699E-2</v>
      </c>
      <c r="E199" s="5">
        <v>4.9333333333333304E-3</v>
      </c>
      <c r="F199" s="5">
        <f t="shared" si="6"/>
        <v>3.1695833333333367E-2</v>
      </c>
      <c r="G199">
        <f t="shared" si="7"/>
        <v>10.237754166666676</v>
      </c>
    </row>
    <row r="200" spans="1:7">
      <c r="A200" s="1" t="s">
        <v>36</v>
      </c>
      <c r="B200" s="1" t="s">
        <v>40</v>
      </c>
      <c r="C200" s="2" t="s">
        <v>4</v>
      </c>
      <c r="D200" s="5">
        <v>2.4674999999999999E-2</v>
      </c>
      <c r="E200" s="5">
        <v>3.3208333333333302E-3</v>
      </c>
      <c r="F200" s="5">
        <f t="shared" si="6"/>
        <v>2.1354166666666667E-2</v>
      </c>
      <c r="G200">
        <f t="shared" si="7"/>
        <v>6.8973958333333325</v>
      </c>
    </row>
    <row r="201" spans="1:7">
      <c r="A201" s="1" t="s">
        <v>36</v>
      </c>
      <c r="B201" s="1" t="s">
        <v>40</v>
      </c>
      <c r="C201" s="2" t="s">
        <v>6</v>
      </c>
      <c r="D201" s="5">
        <v>4.2974999999999999E-2</v>
      </c>
      <c r="E201" s="5">
        <v>6.8208333333333298E-3</v>
      </c>
      <c r="F201" s="5">
        <f t="shared" si="6"/>
        <v>3.6154166666666668E-2</v>
      </c>
      <c r="G201">
        <f t="shared" si="7"/>
        <v>11.677795833333333</v>
      </c>
    </row>
    <row r="202" spans="1:7">
      <c r="A202" s="1" t="s">
        <v>36</v>
      </c>
      <c r="B202" s="1" t="s">
        <v>40</v>
      </c>
      <c r="C202" s="2" t="s">
        <v>7</v>
      </c>
      <c r="D202" s="5">
        <v>3.6075000000000003E-2</v>
      </c>
      <c r="E202" s="5">
        <v>6.4208333333333296E-3</v>
      </c>
      <c r="F202" s="5">
        <f t="shared" si="6"/>
        <v>2.9654166666666672E-2</v>
      </c>
      <c r="G202">
        <f t="shared" si="7"/>
        <v>9.5782958333333337</v>
      </c>
    </row>
    <row r="203" spans="1:7">
      <c r="A203" s="1" t="s">
        <v>36</v>
      </c>
      <c r="B203" s="1" t="s">
        <v>40</v>
      </c>
      <c r="C203" s="2" t="s">
        <v>8</v>
      </c>
      <c r="D203" s="5">
        <v>3.8975000000000003E-2</v>
      </c>
      <c r="E203" s="5">
        <v>4.5208333333333402E-3</v>
      </c>
      <c r="F203" s="5">
        <f t="shared" si="6"/>
        <v>3.4454166666666661E-2</v>
      </c>
      <c r="G203">
        <f t="shared" si="7"/>
        <v>11.12869583333333</v>
      </c>
    </row>
    <row r="204" spans="1:7">
      <c r="A204" s="1" t="s">
        <v>36</v>
      </c>
      <c r="B204" s="1" t="s">
        <v>40</v>
      </c>
      <c r="C204" s="2" t="s">
        <v>10</v>
      </c>
      <c r="D204" s="5">
        <v>3.5975E-2</v>
      </c>
      <c r="E204" s="5">
        <v>4.8208333333333298E-3</v>
      </c>
      <c r="F204" s="5">
        <f t="shared" si="6"/>
        <v>3.115416666666667E-2</v>
      </c>
      <c r="G204">
        <f t="shared" si="7"/>
        <v>10.062795833333332</v>
      </c>
    </row>
    <row r="205" spans="1:7">
      <c r="A205" s="1" t="s">
        <v>36</v>
      </c>
      <c r="B205" s="1" t="s">
        <v>40</v>
      </c>
      <c r="C205" s="2" t="s">
        <v>11</v>
      </c>
      <c r="D205" s="5">
        <v>1.9675000000000002E-2</v>
      </c>
      <c r="E205" s="5">
        <v>1.52083333333333E-3</v>
      </c>
      <c r="F205" s="5">
        <f t="shared" si="6"/>
        <v>1.8154166666666673E-2</v>
      </c>
      <c r="G205">
        <f t="shared" si="7"/>
        <v>5.8637958333333344</v>
      </c>
    </row>
    <row r="206" spans="1:7">
      <c r="A206" s="1" t="s">
        <v>36</v>
      </c>
      <c r="B206" s="1" t="s">
        <v>40</v>
      </c>
      <c r="C206" s="2" t="s">
        <v>12</v>
      </c>
      <c r="D206" s="5">
        <v>2.1274999999999999E-2</v>
      </c>
      <c r="E206" s="5">
        <v>3.3208333333333302E-3</v>
      </c>
      <c r="F206" s="5">
        <f t="shared" si="6"/>
        <v>1.7954166666666667E-2</v>
      </c>
      <c r="G206">
        <f t="shared" si="7"/>
        <v>5.7991958333333322</v>
      </c>
    </row>
    <row r="207" spans="1:7">
      <c r="A207" s="1" t="s">
        <v>36</v>
      </c>
      <c r="B207" s="1" t="s">
        <v>40</v>
      </c>
      <c r="C207" s="2" t="s">
        <v>14</v>
      </c>
      <c r="D207" s="5">
        <v>2.2575000000000001E-2</v>
      </c>
      <c r="E207" s="5">
        <v>2.7208333333333299E-3</v>
      </c>
      <c r="F207" s="5">
        <f t="shared" si="6"/>
        <v>1.9854166666666673E-2</v>
      </c>
      <c r="G207">
        <f t="shared" si="7"/>
        <v>6.4128958333333346</v>
      </c>
    </row>
    <row r="208" spans="1:7">
      <c r="A208" s="1" t="s">
        <v>36</v>
      </c>
      <c r="B208" s="1" t="s">
        <v>40</v>
      </c>
      <c r="C208" s="2" t="s">
        <v>15</v>
      </c>
      <c r="D208" s="5">
        <v>2.7875E-2</v>
      </c>
      <c r="E208" s="5">
        <v>3.5208333333333298E-3</v>
      </c>
      <c r="F208" s="5">
        <f t="shared" si="6"/>
        <v>2.435416666666667E-2</v>
      </c>
      <c r="G208">
        <f t="shared" si="7"/>
        <v>7.8663958333333337</v>
      </c>
    </row>
    <row r="209" spans="1:7">
      <c r="A209" s="1" t="s">
        <v>36</v>
      </c>
      <c r="B209" s="1" t="s">
        <v>40</v>
      </c>
      <c r="C209" s="2" t="s">
        <v>16</v>
      </c>
      <c r="D209" s="5">
        <v>3.3974999999999998E-2</v>
      </c>
      <c r="E209" s="5">
        <v>5.0208333333333303E-3</v>
      </c>
      <c r="F209" s="5">
        <f t="shared" si="6"/>
        <v>2.895416666666667E-2</v>
      </c>
      <c r="G209">
        <f t="shared" si="7"/>
        <v>9.352195833333333</v>
      </c>
    </row>
    <row r="210" spans="1:7">
      <c r="A210" s="1" t="s">
        <v>36</v>
      </c>
      <c r="B210" s="1" t="s">
        <v>40</v>
      </c>
      <c r="C210" s="2" t="s">
        <v>18</v>
      </c>
      <c r="D210" s="5">
        <v>2.5774999999999999E-2</v>
      </c>
      <c r="E210" s="5">
        <v>3.0208333333333298E-3</v>
      </c>
      <c r="F210" s="5">
        <f t="shared" si="6"/>
        <v>2.2754166666666669E-2</v>
      </c>
      <c r="G210">
        <f t="shared" si="7"/>
        <v>7.3495958333333329</v>
      </c>
    </row>
    <row r="211" spans="1:7">
      <c r="A211" s="1" t="s">
        <v>36</v>
      </c>
      <c r="B211" s="1" t="s">
        <v>40</v>
      </c>
      <c r="C211" s="2" t="s">
        <v>19</v>
      </c>
      <c r="D211" s="5">
        <v>1.9175000000000001E-2</v>
      </c>
      <c r="E211" s="5">
        <v>1.92083333333333E-3</v>
      </c>
      <c r="F211" s="5">
        <f t="shared" si="6"/>
        <v>1.7254166666666671E-2</v>
      </c>
      <c r="G211">
        <f t="shared" si="7"/>
        <v>5.5730958333333342</v>
      </c>
    </row>
    <row r="212" spans="1:7">
      <c r="A212" s="1" t="s">
        <v>36</v>
      </c>
      <c r="B212" s="1" t="s">
        <v>40</v>
      </c>
      <c r="C212" s="2" t="s">
        <v>20</v>
      </c>
      <c r="D212" s="5">
        <v>1.7575E-2</v>
      </c>
      <c r="E212" s="5">
        <v>3.6208333333333301E-3</v>
      </c>
      <c r="F212" s="5">
        <f t="shared" si="6"/>
        <v>1.395416666666667E-2</v>
      </c>
      <c r="G212">
        <f t="shared" si="7"/>
        <v>4.5071958333333333</v>
      </c>
    </row>
    <row r="213" spans="1:7">
      <c r="A213" s="1" t="s">
        <v>36</v>
      </c>
      <c r="B213" s="1" t="s">
        <v>40</v>
      </c>
      <c r="C213" s="2" t="s">
        <v>22</v>
      </c>
      <c r="D213" s="5">
        <v>2.7775000000000001E-2</v>
      </c>
      <c r="E213" s="5">
        <v>3.7208333333333299E-3</v>
      </c>
      <c r="F213" s="5">
        <f t="shared" si="6"/>
        <v>2.4054166666666672E-2</v>
      </c>
      <c r="G213">
        <f t="shared" si="7"/>
        <v>7.7694958333333339</v>
      </c>
    </row>
    <row r="214" spans="1:7">
      <c r="A214" s="1" t="s">
        <v>36</v>
      </c>
      <c r="B214" s="1" t="s">
        <v>40</v>
      </c>
      <c r="C214" s="2" t="s">
        <v>23</v>
      </c>
      <c r="D214" s="5">
        <v>2.7074999999999998E-2</v>
      </c>
      <c r="E214" s="5">
        <v>3.8208333333333302E-3</v>
      </c>
      <c r="F214" s="5">
        <f t="shared" si="6"/>
        <v>2.325416666666667E-2</v>
      </c>
      <c r="G214">
        <f t="shared" si="7"/>
        <v>7.5110958333333331</v>
      </c>
    </row>
    <row r="215" spans="1:7">
      <c r="A215" s="1" t="s">
        <v>36</v>
      </c>
      <c r="B215" s="1" t="s">
        <v>40</v>
      </c>
      <c r="C215" s="2" t="s">
        <v>24</v>
      </c>
      <c r="D215" s="5">
        <v>1.8675000000000001E-2</v>
      </c>
      <c r="E215" s="5">
        <v>3.0208333333333298E-3</v>
      </c>
      <c r="F215" s="5">
        <f t="shared" si="6"/>
        <v>1.565416666666667E-2</v>
      </c>
      <c r="G215">
        <f t="shared" si="7"/>
        <v>5.0562958333333334</v>
      </c>
    </row>
    <row r="216" spans="1:7">
      <c r="A216" s="1" t="s">
        <v>36</v>
      </c>
      <c r="B216" s="1" t="s">
        <v>40</v>
      </c>
      <c r="C216" s="2" t="s">
        <v>26</v>
      </c>
      <c r="D216" s="5">
        <v>1.5775000000000001E-2</v>
      </c>
      <c r="E216" s="5">
        <v>4.0208333333333303E-3</v>
      </c>
      <c r="F216" s="5">
        <f t="shared" si="6"/>
        <v>1.175416666666667E-2</v>
      </c>
      <c r="G216">
        <f t="shared" si="7"/>
        <v>3.7965958333333338</v>
      </c>
    </row>
    <row r="217" spans="1:7">
      <c r="A217" s="1" t="s">
        <v>36</v>
      </c>
      <c r="B217" s="1" t="s">
        <v>40</v>
      </c>
      <c r="C217" s="2" t="s">
        <v>27</v>
      </c>
      <c r="D217" s="5">
        <v>2.9575000000000001E-2</v>
      </c>
      <c r="E217" s="5">
        <v>3.8208333333333302E-3</v>
      </c>
      <c r="F217" s="5">
        <f t="shared" si="6"/>
        <v>2.5754166666666672E-2</v>
      </c>
      <c r="G217">
        <f t="shared" si="7"/>
        <v>8.3185958333333332</v>
      </c>
    </row>
    <row r="218" spans="1:7">
      <c r="A218" s="1" t="s">
        <v>36</v>
      </c>
      <c r="B218" s="1" t="s">
        <v>41</v>
      </c>
      <c r="C218" s="2" t="s">
        <v>4</v>
      </c>
      <c r="D218" s="5">
        <v>3.0933333333333299E-2</v>
      </c>
      <c r="E218" s="5">
        <v>1.18333333333333E-2</v>
      </c>
      <c r="F218" s="5">
        <f t="shared" si="6"/>
        <v>1.9099999999999999E-2</v>
      </c>
      <c r="G218">
        <f t="shared" si="7"/>
        <v>6.169299999999998</v>
      </c>
    </row>
    <row r="219" spans="1:7">
      <c r="A219" s="1" t="s">
        <v>36</v>
      </c>
      <c r="B219" s="1" t="s">
        <v>41</v>
      </c>
      <c r="C219" s="2" t="s">
        <v>6</v>
      </c>
      <c r="D219" s="5">
        <v>4.4833333333333301E-2</v>
      </c>
      <c r="E219" s="5">
        <v>9.6333333333333306E-3</v>
      </c>
      <c r="F219" s="5">
        <f t="shared" si="6"/>
        <v>3.5199999999999967E-2</v>
      </c>
      <c r="G219">
        <f t="shared" si="7"/>
        <v>11.369599999999988</v>
      </c>
    </row>
    <row r="220" spans="1:7">
      <c r="A220" s="1" t="s">
        <v>36</v>
      </c>
      <c r="B220" s="1" t="s">
        <v>41</v>
      </c>
      <c r="C220" s="2" t="s">
        <v>7</v>
      </c>
      <c r="D220" s="5">
        <v>2.84333333333333E-2</v>
      </c>
      <c r="E220" s="5">
        <v>7.0333333333333402E-3</v>
      </c>
      <c r="F220" s="5">
        <f t="shared" si="6"/>
        <v>2.1399999999999961E-2</v>
      </c>
      <c r="G220">
        <f t="shared" si="7"/>
        <v>6.912199999999987</v>
      </c>
    </row>
    <row r="221" spans="1:7">
      <c r="A221" s="1" t="s">
        <v>36</v>
      </c>
      <c r="B221" s="1" t="s">
        <v>41</v>
      </c>
      <c r="C221" s="2" t="s">
        <v>8</v>
      </c>
      <c r="D221" s="5">
        <v>4.2233333333333303E-2</v>
      </c>
      <c r="E221" s="5">
        <v>8.7333333333333395E-3</v>
      </c>
      <c r="F221" s="5">
        <f t="shared" si="6"/>
        <v>3.349999999999996E-2</v>
      </c>
      <c r="G221">
        <f t="shared" si="7"/>
        <v>10.820499999999985</v>
      </c>
    </row>
    <row r="222" spans="1:7">
      <c r="A222" s="1" t="s">
        <v>36</v>
      </c>
      <c r="B222" s="1" t="s">
        <v>41</v>
      </c>
      <c r="C222" s="2" t="s">
        <v>10</v>
      </c>
      <c r="D222" s="5">
        <v>6.8933333333333305E-2</v>
      </c>
      <c r="E222" s="5">
        <v>1.70333333333333E-2</v>
      </c>
      <c r="F222" s="5">
        <f t="shared" si="6"/>
        <v>5.1900000000000002E-2</v>
      </c>
      <c r="G222">
        <f t="shared" si="7"/>
        <v>16.763699999999996</v>
      </c>
    </row>
    <row r="223" spans="1:7">
      <c r="A223" s="1" t="s">
        <v>36</v>
      </c>
      <c r="B223" s="1" t="s">
        <v>41</v>
      </c>
      <c r="C223" s="2" t="s">
        <v>11</v>
      </c>
      <c r="D223" s="5">
        <v>6.7633333333333295E-2</v>
      </c>
      <c r="E223" s="5">
        <v>1.6233333333333301E-2</v>
      </c>
      <c r="F223" s="5">
        <f t="shared" si="6"/>
        <v>5.1399999999999994E-2</v>
      </c>
      <c r="G223">
        <f t="shared" si="7"/>
        <v>16.602199999999996</v>
      </c>
    </row>
    <row r="224" spans="1:7">
      <c r="A224" s="1" t="s">
        <v>36</v>
      </c>
      <c r="B224" s="1" t="s">
        <v>41</v>
      </c>
      <c r="C224" s="2" t="s">
        <v>12</v>
      </c>
      <c r="D224" s="5">
        <v>6.7333333333333301E-2</v>
      </c>
      <c r="E224" s="5">
        <v>1.92333333333333E-2</v>
      </c>
      <c r="F224" s="5">
        <f t="shared" si="6"/>
        <v>4.8100000000000004E-2</v>
      </c>
      <c r="G224">
        <f t="shared" si="7"/>
        <v>15.536300000000001</v>
      </c>
    </row>
    <row r="225" spans="1:7">
      <c r="A225" s="1" t="s">
        <v>36</v>
      </c>
      <c r="B225" s="1" t="s">
        <v>41</v>
      </c>
      <c r="C225" s="2" t="s">
        <v>14</v>
      </c>
      <c r="D225" s="5">
        <v>3.7633333333333303E-2</v>
      </c>
      <c r="E225" s="5">
        <v>7.6333333333333296E-3</v>
      </c>
      <c r="F225" s="5">
        <f t="shared" si="6"/>
        <v>2.9999999999999975E-2</v>
      </c>
      <c r="G225">
        <f t="shared" si="7"/>
        <v>9.6899999999999906</v>
      </c>
    </row>
    <row r="226" spans="1:7">
      <c r="A226" s="1" t="s">
        <v>36</v>
      </c>
      <c r="B226" s="1" t="s">
        <v>41</v>
      </c>
      <c r="C226" s="2" t="s">
        <v>15</v>
      </c>
      <c r="D226" s="5">
        <v>5.2233333333333298E-2</v>
      </c>
      <c r="E226" s="5">
        <v>1.2833333333333301E-2</v>
      </c>
      <c r="F226" s="5">
        <f t="shared" si="6"/>
        <v>3.9399999999999998E-2</v>
      </c>
      <c r="G226">
        <f t="shared" si="7"/>
        <v>12.726199999999999</v>
      </c>
    </row>
    <row r="227" spans="1:7">
      <c r="A227" s="1" t="s">
        <v>36</v>
      </c>
      <c r="B227" s="1" t="s">
        <v>41</v>
      </c>
      <c r="C227" s="2" t="s">
        <v>16</v>
      </c>
      <c r="D227" s="5">
        <v>5.7433333333333302E-2</v>
      </c>
      <c r="E227" s="5">
        <v>1.2833333333333301E-2</v>
      </c>
      <c r="F227" s="5">
        <f t="shared" si="6"/>
        <v>4.4600000000000001E-2</v>
      </c>
      <c r="G227">
        <f t="shared" si="7"/>
        <v>14.405799999999999</v>
      </c>
    </row>
    <row r="228" spans="1:7">
      <c r="A228" s="1" t="s">
        <v>36</v>
      </c>
      <c r="B228" s="1" t="s">
        <v>41</v>
      </c>
      <c r="C228" s="2" t="s">
        <v>18</v>
      </c>
      <c r="D228" s="5">
        <v>5.7833333333333299E-2</v>
      </c>
      <c r="E228" s="5">
        <v>1.6833333333333301E-2</v>
      </c>
      <c r="F228" s="5">
        <f t="shared" si="6"/>
        <v>4.0999999999999995E-2</v>
      </c>
      <c r="G228">
        <f t="shared" si="7"/>
        <v>13.242999999999997</v>
      </c>
    </row>
    <row r="229" spans="1:7">
      <c r="A229" s="1" t="s">
        <v>36</v>
      </c>
      <c r="B229" s="1" t="s">
        <v>41</v>
      </c>
      <c r="C229" s="2" t="s">
        <v>19</v>
      </c>
      <c r="D229" s="5">
        <v>3.7633333333333303E-2</v>
      </c>
      <c r="E229" s="5">
        <v>7.3333333333333401E-3</v>
      </c>
      <c r="F229" s="5">
        <f t="shared" si="6"/>
        <v>3.0299999999999962E-2</v>
      </c>
      <c r="G229">
        <f t="shared" si="7"/>
        <v>9.7868999999999868</v>
      </c>
    </row>
    <row r="230" spans="1:7">
      <c r="A230" s="1" t="s">
        <v>36</v>
      </c>
      <c r="B230" s="1" t="s">
        <v>41</v>
      </c>
      <c r="C230" s="2" t="s">
        <v>20</v>
      </c>
      <c r="D230" s="5">
        <v>5.9633333333333302E-2</v>
      </c>
      <c r="E230" s="5">
        <v>1.29333333333333E-2</v>
      </c>
      <c r="F230" s="5">
        <f t="shared" si="6"/>
        <v>4.6700000000000005E-2</v>
      </c>
      <c r="G230">
        <f t="shared" si="7"/>
        <v>15.084099999999999</v>
      </c>
    </row>
    <row r="231" spans="1:7">
      <c r="A231" s="1" t="s">
        <v>36</v>
      </c>
      <c r="B231" s="1" t="s">
        <v>41</v>
      </c>
      <c r="C231" s="2" t="s">
        <v>22</v>
      </c>
      <c r="D231" s="5">
        <v>5.4133333333333297E-2</v>
      </c>
      <c r="E231" s="5">
        <v>1.26333333333333E-2</v>
      </c>
      <c r="F231" s="5">
        <f t="shared" si="6"/>
        <v>4.1499999999999995E-2</v>
      </c>
      <c r="G231">
        <f t="shared" si="7"/>
        <v>13.404499999999997</v>
      </c>
    </row>
    <row r="232" spans="1:7">
      <c r="A232" s="1" t="s">
        <v>36</v>
      </c>
      <c r="B232" s="1" t="s">
        <v>41</v>
      </c>
      <c r="C232" s="2" t="s">
        <v>23</v>
      </c>
      <c r="D232" s="5">
        <v>4.3233333333333297E-2</v>
      </c>
      <c r="E232" s="5">
        <v>8.3333333333333297E-3</v>
      </c>
      <c r="F232" s="5">
        <f t="shared" si="6"/>
        <v>3.4899999999999966E-2</v>
      </c>
      <c r="G232">
        <f t="shared" si="7"/>
        <v>11.272699999999988</v>
      </c>
    </row>
    <row r="233" spans="1:7">
      <c r="A233" s="1" t="s">
        <v>36</v>
      </c>
      <c r="B233" s="1" t="s">
        <v>41</v>
      </c>
      <c r="C233" s="2" t="s">
        <v>24</v>
      </c>
      <c r="D233" s="5">
        <v>5.0333333333333299E-2</v>
      </c>
      <c r="E233" s="5">
        <v>9.7333333333333404E-3</v>
      </c>
      <c r="F233" s="5">
        <f t="shared" si="6"/>
        <v>4.0599999999999956E-2</v>
      </c>
      <c r="G233">
        <f t="shared" si="7"/>
        <v>13.113799999999983</v>
      </c>
    </row>
    <row r="234" spans="1:7">
      <c r="A234" s="1" t="s">
        <v>36</v>
      </c>
      <c r="B234" s="1" t="s">
        <v>41</v>
      </c>
      <c r="C234" s="2" t="s">
        <v>26</v>
      </c>
      <c r="D234" s="5">
        <v>3.9233333333333301E-2</v>
      </c>
      <c r="E234" s="5">
        <v>7.3333333333333401E-3</v>
      </c>
      <c r="F234" s="5">
        <f t="shared" si="6"/>
        <v>3.1899999999999963E-2</v>
      </c>
      <c r="G234">
        <f t="shared" si="7"/>
        <v>10.303699999999987</v>
      </c>
    </row>
    <row r="235" spans="1:7">
      <c r="A235" s="1" t="s">
        <v>36</v>
      </c>
      <c r="B235" s="1" t="s">
        <v>41</v>
      </c>
      <c r="C235" s="2" t="s">
        <v>27</v>
      </c>
      <c r="D235" s="5">
        <v>4.0233333333333302E-2</v>
      </c>
      <c r="E235" s="5">
        <v>9.8333333333333293E-3</v>
      </c>
      <c r="F235" s="5">
        <f t="shared" si="6"/>
        <v>3.0399999999999972E-2</v>
      </c>
      <c r="G235">
        <f t="shared" si="7"/>
        <v>9.8191999999999897</v>
      </c>
    </row>
    <row r="236" spans="1:7">
      <c r="A236" s="1" t="s">
        <v>36</v>
      </c>
      <c r="B236" s="1" t="s">
        <v>42</v>
      </c>
      <c r="C236" s="2" t="s">
        <v>4</v>
      </c>
      <c r="D236" s="5">
        <v>3.4329166666666702E-2</v>
      </c>
      <c r="E236" s="5">
        <v>4.0333333333333297E-3</v>
      </c>
      <c r="F236" s="5">
        <f t="shared" si="6"/>
        <v>3.0295833333333373E-2</v>
      </c>
      <c r="G236">
        <f t="shared" si="7"/>
        <v>9.7855541666666781</v>
      </c>
    </row>
    <row r="237" spans="1:7">
      <c r="A237" s="1" t="s">
        <v>36</v>
      </c>
      <c r="B237" s="1" t="s">
        <v>42</v>
      </c>
      <c r="C237" s="2" t="s">
        <v>6</v>
      </c>
      <c r="D237" s="5">
        <v>5.24291666666667E-2</v>
      </c>
      <c r="E237" s="5">
        <v>1.86333333333333E-2</v>
      </c>
      <c r="F237" s="5">
        <f t="shared" si="6"/>
        <v>3.37958333333334E-2</v>
      </c>
      <c r="G237">
        <f t="shared" si="7"/>
        <v>10.916054166666687</v>
      </c>
    </row>
    <row r="238" spans="1:7">
      <c r="A238" s="1" t="s">
        <v>36</v>
      </c>
      <c r="B238" s="1" t="s">
        <v>42</v>
      </c>
      <c r="C238" s="2" t="s">
        <v>7</v>
      </c>
      <c r="D238" s="5">
        <v>4.5929166666666701E-2</v>
      </c>
      <c r="E238" s="5">
        <v>7.7333333333333403E-3</v>
      </c>
      <c r="F238" s="5">
        <f t="shared" si="6"/>
        <v>3.8195833333333359E-2</v>
      </c>
      <c r="G238">
        <f t="shared" si="7"/>
        <v>12.337254166666673</v>
      </c>
    </row>
    <row r="239" spans="1:7">
      <c r="A239" s="1" t="s">
        <v>36</v>
      </c>
      <c r="B239" s="1" t="s">
        <v>42</v>
      </c>
      <c r="C239" s="2" t="s">
        <v>8</v>
      </c>
      <c r="D239" s="5">
        <v>3.4029166666666701E-2</v>
      </c>
      <c r="E239" s="5">
        <v>5.3333333333333401E-3</v>
      </c>
      <c r="F239" s="5">
        <f t="shared" si="6"/>
        <v>2.8695833333333361E-2</v>
      </c>
      <c r="G239">
        <f t="shared" si="7"/>
        <v>9.2687541666666746</v>
      </c>
    </row>
    <row r="240" spans="1:7">
      <c r="A240" s="1" t="s">
        <v>36</v>
      </c>
      <c r="B240" s="1" t="s">
        <v>42</v>
      </c>
      <c r="C240" s="2" t="s">
        <v>10</v>
      </c>
      <c r="D240" s="5">
        <v>4.7529166666666699E-2</v>
      </c>
      <c r="E240" s="5">
        <v>8.6333333333333297E-3</v>
      </c>
      <c r="F240" s="5">
        <f t="shared" si="6"/>
        <v>3.8895833333333366E-2</v>
      </c>
      <c r="G240">
        <f t="shared" si="7"/>
        <v>12.563354166666675</v>
      </c>
    </row>
    <row r="241" spans="1:7">
      <c r="A241" s="1" t="s">
        <v>36</v>
      </c>
      <c r="B241" s="1" t="s">
        <v>42</v>
      </c>
      <c r="C241" s="2" t="s">
        <v>11</v>
      </c>
      <c r="D241" s="5">
        <v>3.6329166666666697E-2</v>
      </c>
      <c r="E241" s="5">
        <v>5.1333333333333396E-3</v>
      </c>
      <c r="F241" s="5">
        <f t="shared" si="6"/>
        <v>3.1195833333333357E-2</v>
      </c>
      <c r="G241">
        <f t="shared" si="7"/>
        <v>10.076254166666674</v>
      </c>
    </row>
    <row r="242" spans="1:7">
      <c r="A242" s="1" t="s">
        <v>36</v>
      </c>
      <c r="B242" s="1" t="s">
        <v>42</v>
      </c>
      <c r="C242" s="2" t="s">
        <v>12</v>
      </c>
      <c r="D242" s="5">
        <v>2.7729166666666701E-2</v>
      </c>
      <c r="E242" s="5">
        <v>3.9333333333333399E-3</v>
      </c>
      <c r="F242" s="5">
        <f t="shared" si="6"/>
        <v>2.379583333333336E-2</v>
      </c>
      <c r="G242">
        <f t="shared" si="7"/>
        <v>7.6860541666666746</v>
      </c>
    </row>
    <row r="243" spans="1:7">
      <c r="A243" s="1" t="s">
        <v>36</v>
      </c>
      <c r="B243" s="1" t="s">
        <v>42</v>
      </c>
      <c r="C243" s="2" t="s">
        <v>14</v>
      </c>
      <c r="D243" s="5">
        <v>3.6629166666666699E-2</v>
      </c>
      <c r="E243" s="5">
        <v>5.1333333333333396E-3</v>
      </c>
      <c r="F243" s="5">
        <f t="shared" si="6"/>
        <v>3.1495833333333362E-2</v>
      </c>
      <c r="G243">
        <f t="shared" si="7"/>
        <v>10.173154166666675</v>
      </c>
    </row>
    <row r="244" spans="1:7">
      <c r="A244" s="1" t="s">
        <v>36</v>
      </c>
      <c r="B244" s="1" t="s">
        <v>42</v>
      </c>
      <c r="C244" s="2" t="s">
        <v>15</v>
      </c>
      <c r="D244" s="5">
        <v>6.04291666666667E-2</v>
      </c>
      <c r="E244" s="5">
        <v>1.4833333333333301E-2</v>
      </c>
      <c r="F244" s="5">
        <f t="shared" si="6"/>
        <v>4.5595833333333398E-2</v>
      </c>
      <c r="G244">
        <f t="shared" si="7"/>
        <v>14.727454166666686</v>
      </c>
    </row>
    <row r="245" spans="1:7">
      <c r="A245" s="1" t="s">
        <v>36</v>
      </c>
      <c r="B245" s="1" t="s">
        <v>42</v>
      </c>
      <c r="C245" s="2" t="s">
        <v>16</v>
      </c>
      <c r="D245" s="5">
        <v>3.13291666666667E-2</v>
      </c>
      <c r="E245" s="5">
        <v>6.8333333333333397E-3</v>
      </c>
      <c r="F245" s="5">
        <f t="shared" si="6"/>
        <v>2.4495833333333359E-2</v>
      </c>
      <c r="G245">
        <f t="shared" si="7"/>
        <v>7.9121541666666735</v>
      </c>
    </row>
    <row r="246" spans="1:7">
      <c r="A246" s="1" t="s">
        <v>36</v>
      </c>
      <c r="B246" s="1" t="s">
        <v>42</v>
      </c>
      <c r="C246" s="2" t="s">
        <v>18</v>
      </c>
      <c r="D246" s="5">
        <v>7.9629166666666695E-2</v>
      </c>
      <c r="E246" s="5">
        <v>4.21333333333333E-2</v>
      </c>
      <c r="F246" s="5">
        <f t="shared" si="6"/>
        <v>3.7495833333333395E-2</v>
      </c>
      <c r="G246">
        <f t="shared" si="7"/>
        <v>12.111154166666683</v>
      </c>
    </row>
    <row r="247" spans="1:7">
      <c r="A247" s="1" t="s">
        <v>36</v>
      </c>
      <c r="B247" s="1" t="s">
        <v>42</v>
      </c>
      <c r="C247" s="2" t="s">
        <v>19</v>
      </c>
      <c r="D247" s="5">
        <v>3.0029166666666701E-2</v>
      </c>
      <c r="E247" s="5">
        <v>4.4333333333333403E-3</v>
      </c>
      <c r="F247" s="5">
        <f t="shared" si="6"/>
        <v>2.5595833333333359E-2</v>
      </c>
      <c r="G247">
        <f t="shared" si="7"/>
        <v>8.2674541666666741</v>
      </c>
    </row>
    <row r="248" spans="1:7">
      <c r="A248" s="1" t="s">
        <v>36</v>
      </c>
      <c r="B248" s="1" t="s">
        <v>42</v>
      </c>
      <c r="C248" s="2" t="s">
        <v>20</v>
      </c>
      <c r="D248" s="5">
        <v>4.1129166666666703E-2</v>
      </c>
      <c r="E248" s="5">
        <v>8.1333333333333292E-3</v>
      </c>
      <c r="F248" s="5">
        <f t="shared" si="6"/>
        <v>3.2995833333333377E-2</v>
      </c>
      <c r="G248">
        <f t="shared" si="7"/>
        <v>10.657654166666678</v>
      </c>
    </row>
    <row r="249" spans="1:7">
      <c r="A249" s="1" t="s">
        <v>36</v>
      </c>
      <c r="B249" s="1" t="s">
        <v>42</v>
      </c>
      <c r="C249" s="2" t="s">
        <v>22</v>
      </c>
      <c r="D249" s="5">
        <v>4.0729166666666698E-2</v>
      </c>
      <c r="E249" s="5">
        <v>8.1333333333333292E-3</v>
      </c>
      <c r="F249" s="5">
        <f t="shared" si="6"/>
        <v>3.2595833333333366E-2</v>
      </c>
      <c r="G249">
        <f t="shared" si="7"/>
        <v>10.528454166666675</v>
      </c>
    </row>
    <row r="250" spans="1:7">
      <c r="A250" s="1" t="s">
        <v>36</v>
      </c>
      <c r="B250" s="1" t="s">
        <v>42</v>
      </c>
      <c r="C250" s="2" t="s">
        <v>23</v>
      </c>
      <c r="D250" s="5">
        <v>4.6329166666666699E-2</v>
      </c>
      <c r="E250" s="5">
        <v>9.5333333333333294E-3</v>
      </c>
      <c r="F250" s="5">
        <f t="shared" si="6"/>
        <v>3.6795833333333368E-2</v>
      </c>
      <c r="G250">
        <f t="shared" si="7"/>
        <v>11.885054166666677</v>
      </c>
    </row>
    <row r="251" spans="1:7">
      <c r="A251" s="1" t="s">
        <v>36</v>
      </c>
      <c r="B251" s="1" t="s">
        <v>42</v>
      </c>
      <c r="C251" s="2" t="s">
        <v>24</v>
      </c>
      <c r="D251" s="5">
        <v>4.0629166666666702E-2</v>
      </c>
      <c r="E251" s="5">
        <v>6.5333333333333398E-3</v>
      </c>
      <c r="F251" s="5">
        <f t="shared" si="6"/>
        <v>3.409583333333336E-2</v>
      </c>
      <c r="G251">
        <f t="shared" si="7"/>
        <v>11.012954166666674</v>
      </c>
    </row>
    <row r="252" spans="1:7">
      <c r="A252" s="1" t="s">
        <v>36</v>
      </c>
      <c r="B252" s="1" t="s">
        <v>42</v>
      </c>
      <c r="C252" s="2" t="s">
        <v>26</v>
      </c>
      <c r="D252" s="5">
        <v>2.6829166666666699E-2</v>
      </c>
      <c r="E252" s="5">
        <v>3.63333333333334E-3</v>
      </c>
      <c r="F252" s="5">
        <f t="shared" si="6"/>
        <v>2.319583333333336E-2</v>
      </c>
      <c r="G252">
        <f t="shared" si="7"/>
        <v>7.4922541666666742</v>
      </c>
    </row>
    <row r="253" spans="1:7">
      <c r="A253" s="1" t="s">
        <v>36</v>
      </c>
      <c r="B253" s="1" t="s">
        <v>42</v>
      </c>
      <c r="C253" s="2" t="s">
        <v>27</v>
      </c>
      <c r="D253" s="5">
        <v>3.8229166666666703E-2</v>
      </c>
      <c r="E253" s="5">
        <v>7.8333333333333293E-3</v>
      </c>
      <c r="F253" s="5">
        <f t="shared" si="6"/>
        <v>3.0395833333333372E-2</v>
      </c>
      <c r="G253">
        <f t="shared" si="7"/>
        <v>9.8178541666666774</v>
      </c>
    </row>
    <row r="254" spans="1:7">
      <c r="A254" s="1" t="s">
        <v>36</v>
      </c>
      <c r="B254" s="1" t="s">
        <v>43</v>
      </c>
      <c r="C254" s="2" t="s">
        <v>4</v>
      </c>
      <c r="D254" s="5">
        <v>3.1570833333333298E-2</v>
      </c>
      <c r="E254" s="5">
        <v>5.0208333333333398E-3</v>
      </c>
      <c r="F254" s="5">
        <f t="shared" si="6"/>
        <v>2.6549999999999959E-2</v>
      </c>
      <c r="G254">
        <f t="shared" si="7"/>
        <v>8.5756499999999853</v>
      </c>
    </row>
    <row r="255" spans="1:7">
      <c r="A255" s="1" t="s">
        <v>36</v>
      </c>
      <c r="B255" s="1" t="s">
        <v>43</v>
      </c>
      <c r="C255" s="2" t="s">
        <v>6</v>
      </c>
      <c r="D255" s="5">
        <v>0.13817083333333299</v>
      </c>
      <c r="E255" s="5">
        <v>0.113920833333333</v>
      </c>
      <c r="F255" s="5">
        <f t="shared" si="6"/>
        <v>2.4249999999999994E-2</v>
      </c>
      <c r="G255">
        <f t="shared" si="7"/>
        <v>7.8327499999999972</v>
      </c>
    </row>
    <row r="256" spans="1:7">
      <c r="A256" s="1" t="s">
        <v>36</v>
      </c>
      <c r="B256" s="1" t="s">
        <v>43</v>
      </c>
      <c r="C256" s="2" t="s">
        <v>7</v>
      </c>
      <c r="D256" s="5">
        <v>7.7270833333333303E-2</v>
      </c>
      <c r="E256" s="5">
        <v>2.6720833333333301E-2</v>
      </c>
      <c r="F256" s="5">
        <f t="shared" si="6"/>
        <v>5.0549999999999998E-2</v>
      </c>
      <c r="G256">
        <f t="shared" si="7"/>
        <v>16.327649999999998</v>
      </c>
    </row>
    <row r="257" spans="1:7">
      <c r="A257" s="1" t="s">
        <v>36</v>
      </c>
      <c r="B257" s="1" t="s">
        <v>43</v>
      </c>
      <c r="C257" s="2" t="s">
        <v>8</v>
      </c>
      <c r="D257" s="5">
        <v>4.7470833333333302E-2</v>
      </c>
      <c r="E257" s="5">
        <v>2.3220833333333302E-2</v>
      </c>
      <c r="F257" s="5">
        <f t="shared" si="6"/>
        <v>2.4250000000000001E-2</v>
      </c>
      <c r="G257">
        <f t="shared" si="7"/>
        <v>7.832749999999999</v>
      </c>
    </row>
    <row r="258" spans="1:7">
      <c r="A258" s="1" t="s">
        <v>36</v>
      </c>
      <c r="B258" s="1" t="s">
        <v>43</v>
      </c>
      <c r="C258" s="2" t="s">
        <v>10</v>
      </c>
      <c r="D258" s="5">
        <v>3.5870833333333303E-2</v>
      </c>
      <c r="E258" s="5">
        <v>6.5208333333333403E-3</v>
      </c>
      <c r="F258" s="5">
        <f t="shared" si="6"/>
        <v>2.9349999999999963E-2</v>
      </c>
      <c r="G258">
        <f t="shared" si="7"/>
        <v>9.4800499999999879</v>
      </c>
    </row>
    <row r="259" spans="1:7">
      <c r="A259" s="1" t="s">
        <v>36</v>
      </c>
      <c r="B259" s="1" t="s">
        <v>43</v>
      </c>
      <c r="C259" s="2" t="s">
        <v>11</v>
      </c>
      <c r="D259" s="5">
        <v>5.4470833333333302E-2</v>
      </c>
      <c r="E259" s="5">
        <v>3.1120833333333299E-2</v>
      </c>
      <c r="F259" s="5">
        <f t="shared" ref="F259:F289" si="8">D259-E259</f>
        <v>2.3350000000000003E-2</v>
      </c>
      <c r="G259">
        <f t="shared" ref="G259:G289" si="9">32.3*F259/0.1</f>
        <v>7.5420499999999997</v>
      </c>
    </row>
    <row r="260" spans="1:7">
      <c r="A260" s="1" t="s">
        <v>36</v>
      </c>
      <c r="B260" s="1" t="s">
        <v>43</v>
      </c>
      <c r="C260" s="2" t="s">
        <v>12</v>
      </c>
      <c r="D260" s="5">
        <v>3.6870833333333297E-2</v>
      </c>
      <c r="E260" s="5">
        <v>4.7208333333333304E-3</v>
      </c>
      <c r="F260" s="5">
        <f t="shared" si="8"/>
        <v>3.214999999999997E-2</v>
      </c>
      <c r="G260">
        <f t="shared" si="9"/>
        <v>10.384449999999989</v>
      </c>
    </row>
    <row r="261" spans="1:7">
      <c r="A261" s="1" t="s">
        <v>36</v>
      </c>
      <c r="B261" s="1" t="s">
        <v>43</v>
      </c>
      <c r="C261" s="2" t="s">
        <v>14</v>
      </c>
      <c r="D261" s="5">
        <v>4.1370833333333301E-2</v>
      </c>
      <c r="E261" s="5">
        <v>6.6208333333333301E-3</v>
      </c>
      <c r="F261" s="5">
        <f t="shared" si="8"/>
        <v>3.4749999999999968E-2</v>
      </c>
      <c r="G261">
        <f t="shared" si="9"/>
        <v>11.224249999999989</v>
      </c>
    </row>
    <row r="262" spans="1:7">
      <c r="A262" s="1" t="s">
        <v>36</v>
      </c>
      <c r="B262" s="1" t="s">
        <v>43</v>
      </c>
      <c r="C262" s="2" t="s">
        <v>15</v>
      </c>
      <c r="D262" s="5">
        <v>3.1370833333333299E-2</v>
      </c>
      <c r="E262" s="5">
        <v>5.2208333333333299E-3</v>
      </c>
      <c r="F262" s="5">
        <f t="shared" si="8"/>
        <v>2.6149999999999968E-2</v>
      </c>
      <c r="G262">
        <f t="shared" si="9"/>
        <v>8.446449999999988</v>
      </c>
    </row>
    <row r="263" spans="1:7">
      <c r="A263" s="1" t="s">
        <v>36</v>
      </c>
      <c r="B263" s="1" t="s">
        <v>43</v>
      </c>
      <c r="C263" s="2" t="s">
        <v>16</v>
      </c>
      <c r="D263" s="5">
        <v>4.0770833333333298E-2</v>
      </c>
      <c r="E263" s="5">
        <v>6.5208333333333403E-3</v>
      </c>
      <c r="F263" s="5">
        <f t="shared" si="8"/>
        <v>3.4249999999999961E-2</v>
      </c>
      <c r="G263">
        <f t="shared" si="9"/>
        <v>11.062749999999985</v>
      </c>
    </row>
    <row r="264" spans="1:7">
      <c r="A264" s="1" t="s">
        <v>36</v>
      </c>
      <c r="B264" s="1" t="s">
        <v>43</v>
      </c>
      <c r="C264" s="2" t="s">
        <v>18</v>
      </c>
      <c r="D264" s="5">
        <v>5.7970833333333298E-2</v>
      </c>
      <c r="E264" s="5">
        <v>3.04208333333333E-2</v>
      </c>
      <c r="F264" s="5">
        <f t="shared" si="8"/>
        <v>2.7549999999999998E-2</v>
      </c>
      <c r="G264">
        <f t="shared" si="9"/>
        <v>8.8986499999999982</v>
      </c>
    </row>
    <row r="265" spans="1:7">
      <c r="A265" s="1" t="s">
        <v>36</v>
      </c>
      <c r="B265" s="1" t="s">
        <v>43</v>
      </c>
      <c r="C265" s="2" t="s">
        <v>19</v>
      </c>
      <c r="D265" s="5">
        <v>3.4870833333333302E-2</v>
      </c>
      <c r="E265" s="5">
        <v>7.4208333333333296E-3</v>
      </c>
      <c r="F265" s="5">
        <f t="shared" si="8"/>
        <v>2.7449999999999974E-2</v>
      </c>
      <c r="G265">
        <f t="shared" si="9"/>
        <v>8.86634999999999</v>
      </c>
    </row>
    <row r="266" spans="1:7">
      <c r="A266" s="1" t="s">
        <v>36</v>
      </c>
      <c r="B266" s="1" t="s">
        <v>43</v>
      </c>
      <c r="C266" s="2" t="s">
        <v>20</v>
      </c>
      <c r="D266" s="5">
        <v>3.81708333333333E-2</v>
      </c>
      <c r="E266" s="5">
        <v>5.4208333333333296E-3</v>
      </c>
      <c r="F266" s="5">
        <f t="shared" si="8"/>
        <v>3.2749999999999974E-2</v>
      </c>
      <c r="G266">
        <f t="shared" si="9"/>
        <v>10.57824999999999</v>
      </c>
    </row>
    <row r="267" spans="1:7">
      <c r="A267" s="1" t="s">
        <v>36</v>
      </c>
      <c r="B267" s="1" t="s">
        <v>43</v>
      </c>
      <c r="C267" s="2" t="s">
        <v>22</v>
      </c>
      <c r="D267" s="5">
        <v>3.7270833333333302E-2</v>
      </c>
      <c r="E267" s="5">
        <v>9.5208333333333308E-3</v>
      </c>
      <c r="F267" s="5">
        <f t="shared" si="8"/>
        <v>2.7749999999999969E-2</v>
      </c>
      <c r="G267">
        <f t="shared" si="9"/>
        <v>8.9632499999999879</v>
      </c>
    </row>
    <row r="268" spans="1:7">
      <c r="A268" s="1" t="s">
        <v>36</v>
      </c>
      <c r="B268" s="1" t="s">
        <v>43</v>
      </c>
      <c r="C268" s="2" t="s">
        <v>23</v>
      </c>
      <c r="D268" s="5">
        <v>4.3770833333333301E-2</v>
      </c>
      <c r="E268" s="5">
        <v>7.8208333333333307E-3</v>
      </c>
      <c r="F268" s="5">
        <f t="shared" si="8"/>
        <v>3.5949999999999968E-2</v>
      </c>
      <c r="G268">
        <f t="shared" si="9"/>
        <v>11.611849999999988</v>
      </c>
    </row>
    <row r="269" spans="1:7">
      <c r="A269" s="1" t="s">
        <v>36</v>
      </c>
      <c r="B269" s="1" t="s">
        <v>43</v>
      </c>
      <c r="C269" s="2" t="s">
        <v>24</v>
      </c>
      <c r="D269" s="5">
        <v>5.0070833333333301E-2</v>
      </c>
      <c r="E269" s="5">
        <v>9.1208333333333402E-3</v>
      </c>
      <c r="F269" s="5">
        <f t="shared" si="8"/>
        <v>4.0949999999999959E-2</v>
      </c>
      <c r="G269">
        <f t="shared" si="9"/>
        <v>13.226849999999985</v>
      </c>
    </row>
    <row r="270" spans="1:7">
      <c r="A270" s="1" t="s">
        <v>36</v>
      </c>
      <c r="B270" s="1" t="s">
        <v>43</v>
      </c>
      <c r="C270" s="2" t="s">
        <v>26</v>
      </c>
      <c r="D270" s="5">
        <v>3.3070833333333299E-2</v>
      </c>
      <c r="E270" s="5">
        <v>5.8208333333333402E-3</v>
      </c>
      <c r="F270" s="5">
        <f t="shared" si="8"/>
        <v>2.7249999999999958E-2</v>
      </c>
      <c r="G270">
        <f t="shared" si="9"/>
        <v>8.801749999999986</v>
      </c>
    </row>
    <row r="271" spans="1:7">
      <c r="A271" s="1" t="s">
        <v>36</v>
      </c>
      <c r="B271" s="1" t="s">
        <v>43</v>
      </c>
      <c r="C271" s="2" t="s">
        <v>27</v>
      </c>
      <c r="D271" s="5">
        <v>4.32708333333333E-2</v>
      </c>
      <c r="E271" s="5">
        <v>5.92083333333333E-3</v>
      </c>
      <c r="F271" s="5">
        <f t="shared" si="8"/>
        <v>3.7349999999999967E-2</v>
      </c>
      <c r="G271">
        <f t="shared" si="9"/>
        <v>12.064049999999988</v>
      </c>
    </row>
    <row r="272" spans="1:7">
      <c r="A272" s="1" t="s">
        <v>36</v>
      </c>
      <c r="B272" s="1" t="s">
        <v>44</v>
      </c>
      <c r="C272" s="2" t="s">
        <v>4</v>
      </c>
      <c r="D272" s="5">
        <v>2.77708333333333E-2</v>
      </c>
      <c r="E272" s="5">
        <v>4.6208333333333396E-3</v>
      </c>
      <c r="F272" s="5">
        <f t="shared" si="8"/>
        <v>2.3149999999999962E-2</v>
      </c>
      <c r="G272">
        <f t="shared" si="9"/>
        <v>7.4774499999999859</v>
      </c>
    </row>
    <row r="273" spans="1:7">
      <c r="A273" s="1" t="s">
        <v>36</v>
      </c>
      <c r="B273" s="1" t="s">
        <v>44</v>
      </c>
      <c r="C273" s="2" t="s">
        <v>6</v>
      </c>
      <c r="D273" s="5">
        <v>2.2470833333333301E-2</v>
      </c>
      <c r="E273" s="5">
        <v>3.5208333333333298E-3</v>
      </c>
      <c r="F273" s="5">
        <f t="shared" si="8"/>
        <v>1.894999999999997E-2</v>
      </c>
      <c r="G273">
        <f t="shared" si="9"/>
        <v>6.1208499999999892</v>
      </c>
    </row>
    <row r="274" spans="1:7">
      <c r="A274" s="1" t="s">
        <v>36</v>
      </c>
      <c r="B274" s="1" t="s">
        <v>44</v>
      </c>
      <c r="C274" s="2" t="s">
        <v>7</v>
      </c>
      <c r="D274" s="5">
        <v>3.9370833333333299E-2</v>
      </c>
      <c r="E274" s="5">
        <v>5.2208333333333299E-3</v>
      </c>
      <c r="F274" s="5">
        <f t="shared" si="8"/>
        <v>3.4149999999999972E-2</v>
      </c>
      <c r="G274">
        <f t="shared" si="9"/>
        <v>11.030449999999989</v>
      </c>
    </row>
    <row r="275" spans="1:7">
      <c r="A275" s="1" t="s">
        <v>36</v>
      </c>
      <c r="B275" s="1" t="s">
        <v>44</v>
      </c>
      <c r="C275" s="2" t="s">
        <v>8</v>
      </c>
      <c r="D275" s="5">
        <v>3.5570833333333302E-2</v>
      </c>
      <c r="E275" s="5">
        <v>4.5208333333333402E-3</v>
      </c>
      <c r="F275" s="5">
        <f t="shared" si="8"/>
        <v>3.104999999999996E-2</v>
      </c>
      <c r="G275">
        <f t="shared" si="9"/>
        <v>10.029149999999985</v>
      </c>
    </row>
    <row r="276" spans="1:7">
      <c r="A276" s="1" t="s">
        <v>36</v>
      </c>
      <c r="B276" s="1" t="s">
        <v>44</v>
      </c>
      <c r="C276" s="2" t="s">
        <v>10</v>
      </c>
      <c r="D276" s="5">
        <v>4.4270833333333301E-2</v>
      </c>
      <c r="E276" s="5">
        <v>5.7208333333333304E-3</v>
      </c>
      <c r="F276" s="5">
        <f t="shared" si="8"/>
        <v>3.8549999999999973E-2</v>
      </c>
      <c r="G276">
        <f t="shared" si="9"/>
        <v>12.451649999999988</v>
      </c>
    </row>
    <row r="277" spans="1:7">
      <c r="A277" s="1" t="s">
        <v>36</v>
      </c>
      <c r="B277" s="1" t="s">
        <v>44</v>
      </c>
      <c r="C277" s="2" t="s">
        <v>11</v>
      </c>
      <c r="D277" s="5">
        <v>3.40708333333333E-2</v>
      </c>
      <c r="E277" s="5">
        <v>5.4208333333333296E-3</v>
      </c>
      <c r="F277" s="5">
        <f t="shared" si="8"/>
        <v>2.8649999999999971E-2</v>
      </c>
      <c r="G277">
        <f t="shared" si="9"/>
        <v>9.253949999999989</v>
      </c>
    </row>
    <row r="278" spans="1:7">
      <c r="A278" s="1" t="s">
        <v>36</v>
      </c>
      <c r="B278" s="1" t="s">
        <v>44</v>
      </c>
      <c r="C278" s="2" t="s">
        <v>12</v>
      </c>
      <c r="D278" s="5">
        <v>3.4670833333333297E-2</v>
      </c>
      <c r="E278" s="5">
        <v>4.6208333333333396E-3</v>
      </c>
      <c r="F278" s="5">
        <f t="shared" si="8"/>
        <v>3.0049999999999959E-2</v>
      </c>
      <c r="G278">
        <f t="shared" si="9"/>
        <v>9.706149999999985</v>
      </c>
    </row>
    <row r="279" spans="1:7">
      <c r="A279" s="1" t="s">
        <v>36</v>
      </c>
      <c r="B279" s="1" t="s">
        <v>44</v>
      </c>
      <c r="C279" s="2" t="s">
        <v>14</v>
      </c>
      <c r="D279" s="5">
        <v>2.43708333333333E-2</v>
      </c>
      <c r="E279" s="5">
        <v>2.62083333333334E-3</v>
      </c>
      <c r="F279" s="5">
        <f t="shared" si="8"/>
        <v>2.174999999999996E-2</v>
      </c>
      <c r="G279">
        <f t="shared" si="9"/>
        <v>7.0252499999999856</v>
      </c>
    </row>
    <row r="280" spans="1:7">
      <c r="A280" s="1" t="s">
        <v>36</v>
      </c>
      <c r="B280" s="1" t="s">
        <v>44</v>
      </c>
      <c r="C280" s="2" t="s">
        <v>15</v>
      </c>
      <c r="D280" s="5">
        <v>3.7570833333333303E-2</v>
      </c>
      <c r="E280" s="5">
        <v>7.72083333333334E-3</v>
      </c>
      <c r="F280" s="5">
        <f t="shared" si="8"/>
        <v>2.9849999999999963E-2</v>
      </c>
      <c r="G280">
        <f t="shared" si="9"/>
        <v>9.6415499999999863</v>
      </c>
    </row>
    <row r="281" spans="1:7">
      <c r="A281" s="1" t="s">
        <v>36</v>
      </c>
      <c r="B281" s="1" t="s">
        <v>44</v>
      </c>
      <c r="C281" s="2" t="s">
        <v>16</v>
      </c>
      <c r="D281" s="5">
        <v>3.9970833333333303E-2</v>
      </c>
      <c r="E281" s="5">
        <v>5.92083333333333E-3</v>
      </c>
      <c r="F281" s="5">
        <f t="shared" si="8"/>
        <v>3.4049999999999969E-2</v>
      </c>
      <c r="G281">
        <f t="shared" si="9"/>
        <v>10.998149999999988</v>
      </c>
    </row>
    <row r="282" spans="1:7">
      <c r="A282" s="1" t="s">
        <v>36</v>
      </c>
      <c r="B282" s="1" t="s">
        <v>44</v>
      </c>
      <c r="C282" s="2" t="s">
        <v>18</v>
      </c>
      <c r="D282" s="5">
        <v>3.9370833333333299E-2</v>
      </c>
      <c r="E282" s="5">
        <v>7.9208333333333405E-3</v>
      </c>
      <c r="F282" s="5">
        <f t="shared" si="8"/>
        <v>3.1449999999999957E-2</v>
      </c>
      <c r="G282">
        <f t="shared" si="9"/>
        <v>10.158349999999984</v>
      </c>
    </row>
    <row r="283" spans="1:7">
      <c r="A283" s="1" t="s">
        <v>36</v>
      </c>
      <c r="B283" s="1" t="s">
        <v>44</v>
      </c>
      <c r="C283" s="2" t="s">
        <v>19</v>
      </c>
      <c r="D283" s="5">
        <v>3.7570833333333303E-2</v>
      </c>
      <c r="E283" s="5">
        <v>6.1208333333333297E-3</v>
      </c>
      <c r="F283" s="5">
        <f t="shared" si="8"/>
        <v>3.1449999999999971E-2</v>
      </c>
      <c r="G283">
        <f t="shared" si="9"/>
        <v>10.158349999999988</v>
      </c>
    </row>
    <row r="284" spans="1:7">
      <c r="A284" s="1" t="s">
        <v>36</v>
      </c>
      <c r="B284" s="1" t="s">
        <v>44</v>
      </c>
      <c r="C284" s="2" t="s">
        <v>20</v>
      </c>
      <c r="D284" s="5">
        <v>3.2870833333333301E-2</v>
      </c>
      <c r="E284" s="5">
        <v>6.4208333333333296E-3</v>
      </c>
      <c r="F284" s="5">
        <f t="shared" si="8"/>
        <v>2.644999999999997E-2</v>
      </c>
      <c r="G284">
        <f t="shared" si="9"/>
        <v>8.5433499999999896</v>
      </c>
    </row>
    <row r="285" spans="1:7">
      <c r="A285" s="1" t="s">
        <v>36</v>
      </c>
      <c r="B285" s="1" t="s">
        <v>44</v>
      </c>
      <c r="C285" s="2" t="s">
        <v>22</v>
      </c>
      <c r="D285" s="5">
        <v>3.6870833333333297E-2</v>
      </c>
      <c r="E285" s="5">
        <v>5.8208333333333402E-3</v>
      </c>
      <c r="F285" s="5">
        <f t="shared" si="8"/>
        <v>3.1049999999999956E-2</v>
      </c>
      <c r="G285">
        <f t="shared" si="9"/>
        <v>10.029149999999984</v>
      </c>
    </row>
    <row r="286" spans="1:7">
      <c r="A286" s="1" t="s">
        <v>36</v>
      </c>
      <c r="B286" s="1" t="s">
        <v>44</v>
      </c>
      <c r="C286" s="2" t="s">
        <v>23</v>
      </c>
      <c r="D286" s="5">
        <v>2.2370833333333302E-2</v>
      </c>
      <c r="E286" s="5">
        <v>2.9208333333333399E-3</v>
      </c>
      <c r="F286" s="5">
        <f t="shared" si="8"/>
        <v>1.944999999999996E-2</v>
      </c>
      <c r="G286">
        <f t="shared" si="9"/>
        <v>6.2823499999999859</v>
      </c>
    </row>
    <row r="287" spans="1:7">
      <c r="A287" s="1" t="s">
        <v>36</v>
      </c>
      <c r="B287" s="1" t="s">
        <v>44</v>
      </c>
      <c r="C287" s="2" t="s">
        <v>24</v>
      </c>
      <c r="D287" s="5">
        <v>3.01708333333333E-2</v>
      </c>
      <c r="E287" s="5">
        <v>3.0208333333333298E-3</v>
      </c>
      <c r="F287" s="5">
        <f t="shared" si="8"/>
        <v>2.7149999999999969E-2</v>
      </c>
      <c r="G287">
        <f t="shared" si="9"/>
        <v>8.7694499999999884</v>
      </c>
    </row>
    <row r="288" spans="1:7">
      <c r="A288" s="1" t="s">
        <v>36</v>
      </c>
      <c r="B288" s="1" t="s">
        <v>44</v>
      </c>
      <c r="C288" s="2" t="s">
        <v>26</v>
      </c>
      <c r="D288" s="5">
        <v>3.0770833333333299E-2</v>
      </c>
      <c r="E288" s="5">
        <v>8.5208333333333299E-3</v>
      </c>
      <c r="F288" s="5">
        <f t="shared" si="8"/>
        <v>2.2249999999999971E-2</v>
      </c>
      <c r="G288">
        <f t="shared" si="9"/>
        <v>7.1867499999999893</v>
      </c>
    </row>
    <row r="289" spans="1:7">
      <c r="A289" s="1" t="s">
        <v>36</v>
      </c>
      <c r="B289" s="1" t="s">
        <v>44</v>
      </c>
      <c r="C289" s="2" t="s">
        <v>27</v>
      </c>
      <c r="D289" s="5">
        <v>2.5970833333333301E-2</v>
      </c>
      <c r="E289" s="5">
        <v>2.9208333333333399E-3</v>
      </c>
      <c r="F289" s="5">
        <f t="shared" si="8"/>
        <v>2.3049999999999959E-2</v>
      </c>
      <c r="G289">
        <f t="shared" si="9"/>
        <v>7.4451499999999857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Secondary metabolites</vt:lpstr>
      <vt:lpstr>Root-total phenol</vt:lpstr>
      <vt:lpstr>Leaf-total phenol</vt:lpstr>
      <vt:lpstr>Root-total flavonoids</vt:lpstr>
      <vt:lpstr>Leaf-total flavonoids</vt:lpstr>
      <vt:lpstr>Root-total alkaloids</vt:lpstr>
      <vt:lpstr>Leaf-total alkaloids</vt:lpstr>
      <vt:lpstr>Root-lignin</vt:lpstr>
      <vt:lpstr>Leaf-lignin</vt:lpstr>
      <vt:lpstr>Root-POD</vt:lpstr>
      <vt:lpstr>Leaf-POD</vt:lpstr>
      <vt:lpstr>Root-MDA</vt:lpstr>
      <vt:lpstr>Leaf-MDA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2025-11-17T13:38:28Z</dcterms:created>
  <dcterms:modified xsi:type="dcterms:W3CDTF">2026-01-26T06:19:06Z</dcterms:modified>
</cp:coreProperties>
</file>